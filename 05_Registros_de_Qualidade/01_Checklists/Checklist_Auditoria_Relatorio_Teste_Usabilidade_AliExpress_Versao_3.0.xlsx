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aculdade\4sem\QS_Auditoria_De_Qualidade\Repositorio-Auditoria-de-Qualidade\05_Registros_de_Qualidade\01_Checklists\"/>
    </mc:Choice>
  </mc:AlternateContent>
  <xr:revisionPtr revIDLastSave="0" documentId="8_{BEFDF9D2-34B8-411C-A038-21D785D6C616}" xr6:coauthVersionLast="47" xr6:coauthVersionMax="47" xr10:uidLastSave="{00000000-0000-0000-0000-000000000000}"/>
  <bookViews>
    <workbookView xWindow="-28920" yWindow="-1110" windowWidth="29040" windowHeight="15720" xr2:uid="{00000000-000D-0000-FFFF-FFFF00000000}"/>
  </bookViews>
  <sheets>
    <sheet name="Planilha1" sheetId="1" r:id="rId1"/>
    <sheet name="Apo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vp3O91VV4mQuy8HBG7gHvGFmjRjEDiReqQ5hNORToY="/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N10" i="1"/>
  <c r="G10" i="1"/>
  <c r="N9" i="1"/>
  <c r="G9" i="1"/>
  <c r="G8" i="1"/>
  <c r="G7" i="1"/>
  <c r="G6" i="1"/>
  <c r="G5" i="1"/>
  <c r="G4" i="1"/>
  <c r="G3" i="1"/>
  <c r="N2" i="1"/>
  <c r="G2" i="1"/>
</calcChain>
</file>

<file path=xl/sharedStrings.xml><?xml version="1.0" encoding="utf-8"?>
<sst xmlns="http://schemas.openxmlformats.org/spreadsheetml/2006/main" count="69" uniqueCount="68">
  <si>
    <t>Nº</t>
  </si>
  <si>
    <t>AÇÃO CORRETIVA PADRÃO</t>
  </si>
  <si>
    <t>DESCRIÇÃO</t>
  </si>
  <si>
    <t>Resultado</t>
  </si>
  <si>
    <t xml:space="preserve">Data e hora da identificação da NC </t>
  </si>
  <si>
    <t>Escrever o contexto do projeto, contendo:  o nome, a finalidade, o endereço eletrônico e o público-alvo do sistema web avaliado</t>
  </si>
  <si>
    <t>Responsável pela resolução</t>
  </si>
  <si>
    <t>Inserir a justificativa do sistema escolhido para a testagem</t>
  </si>
  <si>
    <t>Definir os objetivos do teste, informando os aspectos da qualidade do software que serão avaliados</t>
  </si>
  <si>
    <t>Ação corretiva indicada</t>
  </si>
  <si>
    <t>Data prevista de resolução</t>
  </si>
  <si>
    <t>Data e hora do 
escalonamento</t>
  </si>
  <si>
    <t>Inserir, na seção da metodologia, as heurísticas de Nielsen utilizadas</t>
  </si>
  <si>
    <t>Data e hora da conclusão da NC</t>
  </si>
  <si>
    <t>Status da NC</t>
  </si>
  <si>
    <t>Elaborar os casos de teste para cada heurística selecionada</t>
  </si>
  <si>
    <t>Identificar para cada caso de teste, a interface avaliada, o cenário (ação) e o testador responsável</t>
  </si>
  <si>
    <t>Descrever a técnica da caixa preta e sua relevância para o teste de usabilidade</t>
  </si>
  <si>
    <t>Identificar as ferramentas e os recursos utilizados para registro dos testes</t>
  </si>
  <si>
    <t>Na seção de execução do teste, escrever o passo a passo do processo de realização do teste</t>
  </si>
  <si>
    <t xml:space="preserve">Apresentar os resultados obtidos em cada teste descrito no planejamento </t>
  </si>
  <si>
    <t>Inserir as imagens que evidenciam os testes</t>
  </si>
  <si>
    <t>Identificar, para cada teste realizado, os problemas encontrados ou comprovar o atendimento ao objetivo do teste</t>
  </si>
  <si>
    <t>Escrever uma avaliação da usabilidade do sistema, baseada em cada uma das dez heurísticas de Nielsen</t>
  </si>
  <si>
    <t>Descrever os problemas mais críticos encontrados durante o teste do sistema</t>
  </si>
  <si>
    <t>Classificar cada problema crítico descrito quanto ao seu impacto, que pode ser: alto, médio ou baixo</t>
  </si>
  <si>
    <t>Fazer um resumo avaliando, em geral,  a qualidade do sistema em termos de usabilidade</t>
  </si>
  <si>
    <t>Sugerir melhorias para o sistema, baseando-se nos problemas identificados na seção 4.2</t>
  </si>
  <si>
    <t>Elaborar e aplicar um checklist para o processo de testes</t>
  </si>
  <si>
    <t>Garantir que o checklist elaborado contemple as etapas de planejamento, preparação, execução, análise e revisão</t>
  </si>
  <si>
    <t>Indicar, na seção 6, os nomes de quem aplicou e de quem revisou o checklist</t>
  </si>
  <si>
    <t>Inserir as referências utilizadas durante o planejamento e análise, incluindo materiais sobre as heurísticas de Nielsen e as técnicas de teste de usabilidade</t>
  </si>
  <si>
    <t>O contexto do projeto apresenta o nome, a finalidade, o endereço eletrônico e o público-alvo do sistema web avaliado?</t>
  </si>
  <si>
    <t>Itens não conformes:</t>
  </si>
  <si>
    <t>A justificativa do sistema escolhido para a testagem foi inserida?</t>
  </si>
  <si>
    <t>Os objetivos do teste foram definidos, informando os aspectos da qualidade do software que serão avaliados?</t>
  </si>
  <si>
    <t>Na seção da metodologia, as heurísticas de Nielsen utilizadas foram identificadas?</t>
  </si>
  <si>
    <t xml:space="preserve">Para cada heurística identificada, foram apresentados os respectivos casos de teste? </t>
  </si>
  <si>
    <t>Cada caso de teste contém uma interface avaliada, o cenário (ação) e o testador responsável?</t>
  </si>
  <si>
    <t xml:space="preserve">Na seção da metodologia a técnica de caixa preta e sua relevância para o teste de usabilidade foram descritas? </t>
  </si>
  <si>
    <t xml:space="preserve">Na seção da metodologia, as ferramentas e os recursos utilizados para registro foram descritas? </t>
  </si>
  <si>
    <t>Itens N/A:</t>
  </si>
  <si>
    <t>Na seção de execução do teste, o processo de realização dos testes foi descrito passo a passo?</t>
  </si>
  <si>
    <t>Aderência:</t>
  </si>
  <si>
    <t>Para cada caso de teste apresentado no planejamento, foram apresentados os resultados obtidos?</t>
  </si>
  <si>
    <t>Foram colocadas imagens que evidenciem os testes?</t>
  </si>
  <si>
    <t>Para cada teste realizado, foram identificados problemas encontrados ou a comprovação do atendimento ao objetivo do teste?</t>
  </si>
  <si>
    <t>A seção análise de usabilidade apresenta uma avaliação do sistema baseada em cada uma das dez heurísticas de Nielsen?</t>
  </si>
  <si>
    <t xml:space="preserve">Foram apresentados os problemas mais críticos encontrados durante o teste? </t>
  </si>
  <si>
    <t xml:space="preserve">Cada problema crítico indicado foi classificado quanto ao seu impacto, que pode ser alto, médio ou baixo? </t>
  </si>
  <si>
    <t>Prazo</t>
  </si>
  <si>
    <t xml:space="preserve">Na seção de conclusão, foi feito um resumo da avaliação geral da qualidade do sistema em termos de usabilidade? </t>
  </si>
  <si>
    <t>35 minutos</t>
  </si>
  <si>
    <t>Na seção de conclusão, foram sugeridas melhorias para a usabilidade do sistema, baseadas nos problemas identificados na seção 4.2?</t>
  </si>
  <si>
    <t>Um checklist do processo de testes foi elaborado e aplicado?</t>
  </si>
  <si>
    <t xml:space="preserve">O checklist elaborado contempla o planejamento, preparação, execução, análise e revisão? </t>
  </si>
  <si>
    <t>Na seção 6, foram indicados os nomes de quem aplicou e de quem revisou o checklist?</t>
  </si>
  <si>
    <t>As referências utilizadas durante o planejamento e a análise do teste foram apresentadas, incluindo materiais sobre as heurísticas de Nielsen e as técnicas de teste de usabilidade?</t>
  </si>
  <si>
    <t xml:space="preserve"> </t>
  </si>
  <si>
    <t>20 minutos</t>
  </si>
  <si>
    <t>O documento segue a estrutura estabelecida no template, sem adições que não tenham sido solicitadas ou justificadas?</t>
  </si>
  <si>
    <t xml:space="preserve">baixa </t>
  </si>
  <si>
    <t>alta</t>
  </si>
  <si>
    <t>média</t>
  </si>
  <si>
    <t>55 minutos</t>
  </si>
  <si>
    <t>Complexidade
da NC</t>
  </si>
  <si>
    <t>Complexidade da NC:</t>
  </si>
  <si>
    <t>Remover ou justificar as informações, seções ou elementos adicionados que não estejam previstos no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</si>
</sst>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rial"/>
    </font>
    <font>
      <b/>
      <sz val="12"/>
      <color theme="1"/>
      <name val="Arial"/>
    </font>
    <font>
      <sz val="11"/>
      <color theme="1"/>
      <name val="Aptos Narrow"/>
    </font>
    <font>
      <b/>
      <sz val="12"/>
      <color theme="1"/>
      <name val="Aptos Narrow"/>
    </font>
    <font>
      <sz val="11"/>
      <color theme="1"/>
      <name val="Arial"/>
    </font>
    <font>
      <b/>
      <sz val="12"/>
      <color rgb="FF000000"/>
      <name val="Arial"/>
    </font>
    <font>
      <sz val="11"/>
      <color rgb="FFFFFFFF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Arial"/>
    </font>
    <font>
      <sz val="11"/>
      <color rgb="FF000000"/>
      <name val="Calibri"/>
    </font>
    <font>
      <sz val="11"/>
      <color theme="6" tint="0.79998168889431442"/>
      <name val="Aptos Narrow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FCE7B1"/>
        <bgColor rgb="FFFCE7B1"/>
      </patternFill>
    </fill>
    <fill>
      <patternFill patternType="solid">
        <fgColor rgb="FFFFFFFF"/>
        <bgColor rgb="FFFFFFFF"/>
      </patternFill>
    </fill>
    <fill>
      <patternFill patternType="solid">
        <fgColor rgb="FFD9F2D0"/>
        <bgColor rgb="FFD9F2D0"/>
      </patternFill>
    </fill>
    <fill>
      <patternFill patternType="solid">
        <fgColor rgb="FF92D050"/>
        <bgColor rgb="FF92D050"/>
      </patternFill>
    </fill>
    <fill>
      <patternFill patternType="solid">
        <fgColor rgb="FFFFFF99"/>
        <bgColor rgb="FFFFFF99"/>
      </patternFill>
    </fill>
    <fill>
      <patternFill patternType="solid">
        <fgColor rgb="FFED8449"/>
        <bgColor rgb="FFED8449"/>
      </patternFill>
    </fill>
    <fill>
      <patternFill patternType="solid">
        <fgColor theme="0"/>
        <bgColor rgb="FFF5694D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030A0"/>
      </patternFill>
    </fill>
    <fill>
      <patternFill patternType="solid">
        <fgColor theme="0"/>
        <bgColor rgb="FFE49EDD"/>
      </patternFill>
    </fill>
    <fill>
      <patternFill patternType="solid">
        <fgColor rgb="FFFFFF00"/>
        <bgColor rgb="FF92D050"/>
      </patternFill>
    </fill>
    <fill>
      <patternFill patternType="solid">
        <fgColor rgb="FFEF7C1D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22" fontId="1" fillId="0" borderId="1" xfId="0" applyNumberFormat="1" applyFont="1" applyBorder="1" applyAlignment="1">
      <alignment wrapText="1"/>
    </xf>
    <xf numFmtId="0" fontId="8" fillId="0" borderId="1" xfId="0" applyFont="1" applyBorder="1"/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0" xfId="0" applyFont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9" fontId="3" fillId="0" borderId="0" xfId="0" applyNumberFormat="1" applyFont="1"/>
    <xf numFmtId="0" fontId="3" fillId="3" borderId="0" xfId="0" applyFont="1" applyFill="1"/>
    <xf numFmtId="0" fontId="3" fillId="0" borderId="0" xfId="0" applyFont="1"/>
    <xf numFmtId="0" fontId="10" fillId="3" borderId="0" xfId="0" applyFont="1" applyFill="1" applyAlignment="1">
      <alignment horizontal="center"/>
    </xf>
    <xf numFmtId="0" fontId="10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1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22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1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0" fillId="0" borderId="9" xfId="0" applyBorder="1"/>
    <xf numFmtId="0" fontId="8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8" xfId="0" applyBorder="1"/>
    <xf numFmtId="0" fontId="3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10" borderId="0" xfId="0" applyFont="1" applyFill="1"/>
    <xf numFmtId="0" fontId="3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13" fillId="5" borderId="4" xfId="0" applyFont="1" applyFill="1" applyBorder="1"/>
    <xf numFmtId="0" fontId="3" fillId="12" borderId="5" xfId="0" applyFont="1" applyFill="1" applyBorder="1"/>
    <xf numFmtId="0" fontId="3" fillId="13" borderId="10" xfId="0" applyFont="1" applyFill="1" applyBorder="1"/>
    <xf numFmtId="0" fontId="14" fillId="0" borderId="6" xfId="0" applyFont="1" applyBorder="1"/>
    <xf numFmtId="0" fontId="14" fillId="6" borderId="5" xfId="0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/>
    </xf>
    <xf numFmtId="0" fontId="1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0" fillId="0" borderId="0" xfId="0" applyFont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3" fillId="9" borderId="5" xfId="0" applyFont="1" applyFill="1" applyBorder="1"/>
  </cellXfs>
  <cellStyles count="1">
    <cellStyle name="Normal" xfId="0" builtinId="0"/>
  </cellStyles>
  <dxfs count="3">
    <dxf>
      <font>
        <color theme="1"/>
      </font>
      <fill>
        <patternFill patternType="solid">
          <fgColor rgb="FFD0D0D0"/>
          <bgColor rgb="FFD0D0D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mruColors>
      <color rgb="FFEF7C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25"/>
  <sheetViews>
    <sheetView tabSelected="1" topLeftCell="B11" zoomScaleNormal="100" workbookViewId="0">
      <selection activeCell="Q17" sqref="Q17"/>
    </sheetView>
  </sheetViews>
  <sheetFormatPr defaultColWidth="12.5703125" defaultRowHeight="15" customHeight="1" x14ac:dyDescent="0.25"/>
  <cols>
    <col min="1" max="1" width="8.5703125" customWidth="1"/>
    <col min="2" max="2" width="37.140625" customWidth="1"/>
    <col min="3" max="3" width="15.28515625" customWidth="1"/>
    <col min="4" max="4" width="15.42578125" customWidth="1"/>
    <col min="5" max="5" width="18.140625" customWidth="1"/>
    <col min="6" max="6" width="23.140625" customWidth="1"/>
    <col min="7" max="7" width="26.28515625" customWidth="1"/>
    <col min="8" max="8" width="14.42578125" customWidth="1"/>
    <col min="9" max="9" width="16.28515625" customWidth="1"/>
    <col min="10" max="10" width="18.42578125" customWidth="1"/>
    <col min="11" max="11" width="12.42578125" customWidth="1"/>
    <col min="12" max="12" width="8.5703125" customWidth="1"/>
    <col min="13" max="13" width="34.140625" customWidth="1"/>
    <col min="14" max="14" width="19.140625" customWidth="1"/>
    <col min="15" max="26" width="8.5703125" customWidth="1"/>
  </cols>
  <sheetData>
    <row r="1" spans="1:16" ht="30" customHeight="1" x14ac:dyDescent="0.25">
      <c r="A1" s="2" t="s">
        <v>0</v>
      </c>
      <c r="B1" s="4" t="s">
        <v>2</v>
      </c>
      <c r="C1" s="4" t="s">
        <v>3</v>
      </c>
      <c r="D1" s="4" t="s">
        <v>4</v>
      </c>
      <c r="E1" s="6" t="s">
        <v>6</v>
      </c>
      <c r="F1" s="66" t="s">
        <v>65</v>
      </c>
      <c r="G1" s="7" t="s">
        <v>9</v>
      </c>
      <c r="H1" s="4" t="s">
        <v>10</v>
      </c>
      <c r="I1" s="4" t="s">
        <v>11</v>
      </c>
      <c r="J1" s="4" t="s">
        <v>13</v>
      </c>
      <c r="K1" s="2" t="s">
        <v>14</v>
      </c>
      <c r="L1" s="9"/>
      <c r="M1" s="73"/>
      <c r="N1" s="74"/>
    </row>
    <row r="2" spans="1:16" ht="74.25" customHeight="1" x14ac:dyDescent="0.25">
      <c r="A2" s="3">
        <v>1</v>
      </c>
      <c r="B2" s="10" t="s">
        <v>32</v>
      </c>
      <c r="C2" s="19"/>
      <c r="D2" s="17"/>
      <c r="E2" s="14"/>
      <c r="F2" s="17"/>
      <c r="G2" s="16" t="str">
        <f>IF($C2="NÃO",IFERROR(VLOOKUP($A2,Apoio!$A$2:$B$23,2,FALSE),""),"")</f>
        <v/>
      </c>
      <c r="H2" s="17"/>
      <c r="I2" s="17"/>
      <c r="J2" s="17"/>
      <c r="K2" s="17"/>
      <c r="M2" s="18" t="s">
        <v>33</v>
      </c>
      <c r="N2" s="18">
        <f>COUNTIF($C:$C,"Não")</f>
        <v>0</v>
      </c>
    </row>
    <row r="3" spans="1:16" ht="43.5" customHeight="1" x14ac:dyDescent="0.25">
      <c r="A3" s="3">
        <v>2</v>
      </c>
      <c r="B3" s="10" t="s">
        <v>34</v>
      </c>
      <c r="C3" s="12"/>
      <c r="D3" s="17"/>
      <c r="E3" s="14"/>
      <c r="F3" s="17"/>
      <c r="G3" s="16" t="str">
        <f>IF($C3="NÃO",IFERROR(VLOOKUP($A3,Apoio!$A$2:$B$23,2,FALSE),""),"")</f>
        <v/>
      </c>
      <c r="H3" s="17"/>
      <c r="I3" s="17"/>
      <c r="J3" s="17"/>
      <c r="K3" s="17"/>
      <c r="M3" s="18"/>
      <c r="N3" s="18"/>
    </row>
    <row r="4" spans="1:16" ht="53.25" customHeight="1" x14ac:dyDescent="0.25">
      <c r="A4" s="3">
        <v>3</v>
      </c>
      <c r="B4" s="20" t="s">
        <v>35</v>
      </c>
      <c r="C4" s="19"/>
      <c r="D4" s="17"/>
      <c r="E4" s="14"/>
      <c r="F4" s="17"/>
      <c r="G4" s="16" t="str">
        <f>IF($C4="NÃO",IFERROR(VLOOKUP($A4,Apoio!$A$2:$B$23,2,FALSE),""),"")</f>
        <v/>
      </c>
      <c r="H4" s="17"/>
      <c r="I4" s="17"/>
      <c r="J4" s="17"/>
      <c r="K4" s="17"/>
      <c r="M4" s="18"/>
      <c r="N4" s="18"/>
    </row>
    <row r="5" spans="1:16" ht="41.25" customHeight="1" x14ac:dyDescent="0.25">
      <c r="A5" s="3">
        <v>4</v>
      </c>
      <c r="B5" s="10" t="s">
        <v>36</v>
      </c>
      <c r="C5" s="12"/>
      <c r="D5" s="17"/>
      <c r="E5" s="14"/>
      <c r="F5" s="17"/>
      <c r="G5" s="16" t="str">
        <f>IF($C5="NÃO",IFERROR(VLOOKUP($A5,Apoio!$A$2:$B$23,2,FALSE),""),"")</f>
        <v/>
      </c>
      <c r="H5" s="17"/>
      <c r="I5" s="17"/>
      <c r="J5" s="17"/>
      <c r="K5" s="17"/>
      <c r="M5" s="18"/>
      <c r="N5" s="18"/>
    </row>
    <row r="6" spans="1:16" ht="45" customHeight="1" x14ac:dyDescent="0.25">
      <c r="A6" s="8">
        <v>5</v>
      </c>
      <c r="B6" s="10" t="s">
        <v>37</v>
      </c>
      <c r="C6" s="19"/>
      <c r="D6" s="17"/>
      <c r="E6" s="14"/>
      <c r="F6" s="17"/>
      <c r="G6" s="16" t="str">
        <f>IF($C6="NÃO",IFERROR(VLOOKUP($A6,Apoio!$A$2:$B$23,2,FALSE),""),"")</f>
        <v/>
      </c>
      <c r="H6" s="17"/>
      <c r="I6" s="17"/>
      <c r="J6" s="17"/>
      <c r="K6" s="17"/>
      <c r="M6" s="18"/>
      <c r="N6" s="18"/>
    </row>
    <row r="7" spans="1:16" ht="55.5" customHeight="1" x14ac:dyDescent="0.25">
      <c r="A7" s="8">
        <v>6</v>
      </c>
      <c r="B7" s="10" t="s">
        <v>38</v>
      </c>
      <c r="C7" s="19"/>
      <c r="D7" s="17"/>
      <c r="E7" s="14"/>
      <c r="F7" s="17"/>
      <c r="G7" s="16" t="str">
        <f>IF($C7="NÃO",IFERROR(VLOOKUP($A7,Apoio!$A$2:$B$23,2,FALSE),""),"")</f>
        <v/>
      </c>
      <c r="H7" s="17"/>
      <c r="I7" s="17"/>
      <c r="J7" s="17"/>
      <c r="K7" s="17"/>
      <c r="M7" s="18"/>
      <c r="N7" s="18"/>
    </row>
    <row r="8" spans="1:16" ht="40.5" customHeight="1" x14ac:dyDescent="0.25">
      <c r="A8" s="8">
        <v>7</v>
      </c>
      <c r="B8" s="10" t="s">
        <v>39</v>
      </c>
      <c r="C8" s="19"/>
      <c r="D8" s="17"/>
      <c r="E8" s="14"/>
      <c r="F8" s="17"/>
      <c r="G8" s="16" t="str">
        <f>IF($C8="NÃO",IFERROR(VLOOKUP($A8,Apoio!$A$2:$B$23,2,FALSE),""),"")</f>
        <v/>
      </c>
      <c r="H8" s="17"/>
      <c r="I8" s="17"/>
      <c r="J8" s="17"/>
      <c r="K8" s="17"/>
      <c r="M8" s="18"/>
      <c r="N8" s="18"/>
    </row>
    <row r="9" spans="1:16" ht="42.75" customHeight="1" x14ac:dyDescent="0.25">
      <c r="A9" s="8">
        <v>8</v>
      </c>
      <c r="B9" s="10" t="s">
        <v>40</v>
      </c>
      <c r="C9" s="12"/>
      <c r="D9" s="17"/>
      <c r="E9" s="17"/>
      <c r="F9" s="17"/>
      <c r="G9" s="16" t="str">
        <f>IF($C9="NÃO",IFERROR(VLOOKUP($A9,Apoio!$A$2:$B$23,2,FALSE),""),"")</f>
        <v/>
      </c>
      <c r="H9" s="17"/>
      <c r="I9" s="17"/>
      <c r="J9" s="17"/>
      <c r="K9" s="17"/>
      <c r="M9" s="18" t="s">
        <v>41</v>
      </c>
      <c r="N9" s="18">
        <f>COUNTIF($C:$C,"Não se aplica")</f>
        <v>0</v>
      </c>
    </row>
    <row r="10" spans="1:16" ht="57" customHeight="1" x14ac:dyDescent="0.25">
      <c r="A10" s="8">
        <v>9</v>
      </c>
      <c r="B10" s="10" t="s">
        <v>42</v>
      </c>
      <c r="C10" s="12"/>
      <c r="D10" s="17"/>
      <c r="E10" s="17"/>
      <c r="F10" s="17"/>
      <c r="G10" s="16" t="str">
        <f>IF($C10="NÃO",IFERROR(VLOOKUP($A10,Apoio!$A$2:$B$23,2,FALSE),""),"")</f>
        <v/>
      </c>
      <c r="H10" s="17"/>
      <c r="I10" s="17"/>
      <c r="J10" s="17"/>
      <c r="K10" s="17"/>
      <c r="M10" s="18" t="s">
        <v>43</v>
      </c>
      <c r="N10" s="21">
        <f>IFERROR(COUNTIF($C:$C,"Sim")/(COUNTIF($C:$C,"Sim")+COUNTIF($C:$C,"Não")),0)</f>
        <v>0</v>
      </c>
    </row>
    <row r="11" spans="1:16" ht="42.75" x14ac:dyDescent="0.25">
      <c r="A11" s="8">
        <v>10</v>
      </c>
      <c r="B11" s="10" t="s">
        <v>44</v>
      </c>
      <c r="C11" s="19"/>
      <c r="D11" s="17"/>
      <c r="E11" s="17"/>
      <c r="F11" s="17"/>
      <c r="G11" s="16" t="str">
        <f>IF($C11="NÃO",IFERROR(VLOOKUP($A11,Apoio!$A$2:$B$23,2,FALSE),""),"")</f>
        <v/>
      </c>
      <c r="H11" s="17"/>
      <c r="I11" s="17"/>
      <c r="J11" s="17"/>
      <c r="K11" s="17"/>
    </row>
    <row r="12" spans="1:16" ht="28.5" x14ac:dyDescent="0.25">
      <c r="A12" s="8">
        <v>11</v>
      </c>
      <c r="B12" s="10" t="s">
        <v>45</v>
      </c>
      <c r="C12" s="19"/>
      <c r="D12" s="17"/>
      <c r="E12" s="17"/>
      <c r="F12" s="17"/>
      <c r="G12" s="16" t="str">
        <f>IF($C12="NÃO",IFERROR(VLOOKUP($A12,Apoio!$A$2:$B$23,2,FALSE),""),"")</f>
        <v/>
      </c>
      <c r="H12" s="17"/>
      <c r="I12" s="17"/>
      <c r="J12" s="17"/>
      <c r="K12" s="17"/>
    </row>
    <row r="13" spans="1:16" ht="69" customHeight="1" x14ac:dyDescent="0.25">
      <c r="A13" s="11">
        <v>12</v>
      </c>
      <c r="B13" s="10" t="s">
        <v>46</v>
      </c>
      <c r="C13" s="19"/>
      <c r="D13" s="17"/>
      <c r="E13" s="17"/>
      <c r="F13" s="17"/>
      <c r="G13" s="16" t="str">
        <f>IF($C13="NÃO",IFERROR(VLOOKUP($A13,Apoio!$A$2:$B$23,2,FALSE),""),"")</f>
        <v/>
      </c>
      <c r="H13" s="17"/>
      <c r="I13" s="17"/>
      <c r="J13" s="17"/>
      <c r="K13" s="17"/>
      <c r="M13" s="22"/>
      <c r="N13" s="22"/>
      <c r="O13" s="22"/>
      <c r="P13" s="23"/>
    </row>
    <row r="14" spans="1:16" ht="56.25" customHeight="1" x14ac:dyDescent="0.25">
      <c r="A14" s="8">
        <v>13</v>
      </c>
      <c r="B14" s="10" t="s">
        <v>47</v>
      </c>
      <c r="C14" s="19"/>
      <c r="D14" s="17"/>
      <c r="E14" s="17"/>
      <c r="F14" s="17"/>
      <c r="G14" s="16" t="str">
        <f>IF($C14="NÃO",IFERROR(VLOOKUP($A14,Apoio!$A$2:$B$23,2,FALSE),""),"")</f>
        <v/>
      </c>
      <c r="H14" s="17"/>
      <c r="I14" s="17"/>
      <c r="J14" s="17"/>
      <c r="K14" s="17"/>
      <c r="M14" s="39"/>
      <c r="N14" s="22"/>
      <c r="O14" s="22"/>
      <c r="P14" s="23"/>
    </row>
    <row r="15" spans="1:16" ht="44.25" customHeight="1" x14ac:dyDescent="0.25">
      <c r="A15" s="8">
        <v>14</v>
      </c>
      <c r="B15" s="10" t="s">
        <v>48</v>
      </c>
      <c r="C15" s="19"/>
      <c r="D15" s="17"/>
      <c r="E15" s="17"/>
      <c r="F15" s="17"/>
      <c r="G15" s="16" t="str">
        <f>IF($C15="NÃO",IFERROR(VLOOKUP($A15,Apoio!$A$2:$B$23,2,FALSE),""),"")</f>
        <v/>
      </c>
      <c r="H15" s="17"/>
      <c r="I15" s="17"/>
      <c r="J15" s="17"/>
      <c r="K15" s="17"/>
      <c r="M15" s="62"/>
      <c r="N15" s="24"/>
      <c r="O15" s="22"/>
      <c r="P15" s="23"/>
    </row>
    <row r="16" spans="1:16" ht="54.75" customHeight="1" x14ac:dyDescent="0.25">
      <c r="A16" s="8">
        <v>15</v>
      </c>
      <c r="B16" s="10" t="s">
        <v>49</v>
      </c>
      <c r="C16" s="19"/>
      <c r="D16" s="17"/>
      <c r="E16" s="17"/>
      <c r="F16" s="17"/>
      <c r="G16" s="16" t="str">
        <f>IF($C16="NÃO",IFERROR(VLOOKUP($A16,Apoio!$A$2:$B$23,2,FALSE),""),"")</f>
        <v/>
      </c>
      <c r="H16" s="17"/>
      <c r="I16" s="17"/>
      <c r="J16" s="17"/>
      <c r="K16" s="17"/>
      <c r="M16" s="67" t="s">
        <v>66</v>
      </c>
      <c r="N16" s="25" t="s">
        <v>50</v>
      </c>
      <c r="O16" s="22"/>
      <c r="P16" s="23"/>
    </row>
    <row r="17" spans="1:16" ht="56.25" customHeight="1" x14ac:dyDescent="0.25">
      <c r="A17" s="8">
        <v>16</v>
      </c>
      <c r="B17" s="10" t="s">
        <v>51</v>
      </c>
      <c r="C17" s="12"/>
      <c r="D17" s="13"/>
      <c r="E17" s="1"/>
      <c r="F17" s="1"/>
      <c r="G17" s="16" t="str">
        <f>IF($C17="NÃO",IFERROR(VLOOKUP($A17,Apoio!$A$2:$B$23,2,FALSE),""),"")</f>
        <v/>
      </c>
      <c r="H17" s="26"/>
      <c r="I17" s="17"/>
      <c r="J17" s="17"/>
      <c r="K17" s="17"/>
      <c r="M17" s="56" t="s">
        <v>61</v>
      </c>
      <c r="N17" s="64" t="s">
        <v>59</v>
      </c>
      <c r="O17" s="59"/>
      <c r="P17" s="23"/>
    </row>
    <row r="18" spans="1:16" ht="57" customHeight="1" x14ac:dyDescent="0.25">
      <c r="A18" s="8">
        <v>17</v>
      </c>
      <c r="B18" s="10" t="s">
        <v>53</v>
      </c>
      <c r="C18" s="19"/>
      <c r="D18" s="17"/>
      <c r="E18" s="17"/>
      <c r="F18" s="17"/>
      <c r="G18" s="16" t="str">
        <f>IF($C18="NÃO",IFERROR(VLOOKUP($A18,Apoio!$A$2:$B$23,2,FALSE),""),"")</f>
        <v/>
      </c>
      <c r="H18" s="17"/>
      <c r="I18" s="17"/>
      <c r="J18" s="17"/>
      <c r="K18" s="17"/>
      <c r="M18" s="63" t="s">
        <v>63</v>
      </c>
      <c r="N18" s="57" t="s">
        <v>52</v>
      </c>
      <c r="O18" s="60"/>
      <c r="P18" s="23"/>
    </row>
    <row r="19" spans="1:16" ht="30.75" customHeight="1" x14ac:dyDescent="0.25">
      <c r="A19" s="8">
        <v>18</v>
      </c>
      <c r="B19" s="10" t="s">
        <v>54</v>
      </c>
      <c r="C19" s="19"/>
      <c r="D19" s="17"/>
      <c r="E19" s="17"/>
      <c r="F19" s="17"/>
      <c r="G19" s="16" t="str">
        <f>IF($C19="NÃO",IFERROR(VLOOKUP($A19,Apoio!$A$2:$B$23,2,FALSE),""),"")</f>
        <v/>
      </c>
      <c r="H19" s="17"/>
      <c r="I19" s="17"/>
      <c r="J19" s="17"/>
      <c r="K19" s="17"/>
      <c r="M19" s="58" t="s">
        <v>62</v>
      </c>
      <c r="N19" s="65" t="s">
        <v>64</v>
      </c>
      <c r="O19" s="61"/>
      <c r="P19" s="23"/>
    </row>
    <row r="20" spans="1:16" ht="69" customHeight="1" x14ac:dyDescent="0.25">
      <c r="A20" s="8">
        <v>19</v>
      </c>
      <c r="B20" s="10" t="s">
        <v>55</v>
      </c>
      <c r="C20" s="19"/>
      <c r="D20" s="17"/>
      <c r="E20" s="17"/>
      <c r="F20" s="17"/>
      <c r="G20" s="16" t="str">
        <f>IF($C20="NÃO",IFERROR(VLOOKUP($A20,Apoio!$A$2:$B$23,2,FALSE),""),"")</f>
        <v/>
      </c>
      <c r="H20" s="17"/>
      <c r="I20" s="17"/>
      <c r="J20" s="17"/>
      <c r="K20" s="17"/>
      <c r="M20" s="77"/>
      <c r="N20" s="78"/>
      <c r="O20" s="79"/>
      <c r="P20" s="39"/>
    </row>
    <row r="21" spans="1:16" ht="42.75" customHeight="1" x14ac:dyDescent="0.25">
      <c r="A21" s="8">
        <v>20</v>
      </c>
      <c r="B21" s="10" t="s">
        <v>56</v>
      </c>
      <c r="C21" s="12"/>
      <c r="D21" s="13"/>
      <c r="E21" s="1"/>
      <c r="F21" s="1"/>
      <c r="G21" s="16" t="str">
        <f>IF($C21="NÃO",IFERROR(VLOOKUP($A21,Apoio!$A$2:$B$23,2,FALSE),""),"")</f>
        <v/>
      </c>
      <c r="H21" s="26"/>
      <c r="I21" s="17"/>
      <c r="J21" s="17"/>
      <c r="K21" s="17"/>
      <c r="M21" s="51"/>
      <c r="N21" s="52"/>
      <c r="O21" s="53"/>
      <c r="P21" s="22"/>
    </row>
    <row r="22" spans="1:16" ht="86.25" customHeight="1" x14ac:dyDescent="0.25">
      <c r="A22" s="8">
        <v>21</v>
      </c>
      <c r="B22" s="40" t="s">
        <v>57</v>
      </c>
      <c r="C22" s="29"/>
      <c r="D22" s="30"/>
      <c r="E22" s="30"/>
      <c r="F22" s="30"/>
      <c r="G22" s="41" t="str">
        <f>IF($C22="NÃO",IFERROR(VLOOKUP($A22,Apoio!$A$2:$B$23,2,FALSE),""),"")</f>
        <v/>
      </c>
      <c r="H22" s="30"/>
      <c r="I22" s="30"/>
      <c r="J22" s="30"/>
      <c r="K22" s="45"/>
      <c r="L22" s="47"/>
      <c r="M22" s="54"/>
      <c r="N22" s="55"/>
      <c r="O22" s="53"/>
      <c r="P22" s="48"/>
    </row>
    <row r="23" spans="1:16" ht="77.25" customHeight="1" x14ac:dyDescent="0.25">
      <c r="A23" s="76">
        <v>22</v>
      </c>
      <c r="B23" s="42" t="s">
        <v>60</v>
      </c>
      <c r="C23" s="43"/>
      <c r="D23" s="44"/>
      <c r="E23" s="44"/>
      <c r="F23" s="44"/>
      <c r="G23" s="44" t="str">
        <f>IF($C23="NÃO",IFERROR(VLOOKUP($A23,Apoio!$A$2:$B$24,2,FALSE),""),"")</f>
        <v/>
      </c>
      <c r="H23" s="44"/>
      <c r="I23" s="44"/>
      <c r="J23" s="44"/>
      <c r="K23" s="46"/>
      <c r="L23" s="50"/>
      <c r="M23" s="22"/>
      <c r="N23" s="49"/>
      <c r="O23" s="22"/>
      <c r="P23" s="48"/>
    </row>
    <row r="24" spans="1:16" ht="27.75" customHeight="1" x14ac:dyDescent="0.25">
      <c r="A24" s="75"/>
      <c r="B24" s="28"/>
      <c r="C24" s="32"/>
      <c r="D24" s="9"/>
      <c r="E24" s="9"/>
      <c r="F24" s="9"/>
      <c r="G24" s="9"/>
      <c r="H24" s="9"/>
      <c r="I24" s="9"/>
      <c r="J24" s="9"/>
      <c r="K24" s="9"/>
      <c r="M24" s="22"/>
      <c r="N24" s="49"/>
      <c r="O24" s="22" t="s">
        <v>58</v>
      </c>
      <c r="P24" s="48"/>
    </row>
    <row r="25" spans="1:16" ht="30.75" customHeight="1" x14ac:dyDescent="0.25">
      <c r="A25" s="31"/>
      <c r="B25" s="33"/>
      <c r="C25" s="34"/>
      <c r="D25" s="35"/>
      <c r="E25" s="33"/>
      <c r="F25" s="33"/>
      <c r="G25" s="33"/>
      <c r="H25" s="36"/>
      <c r="I25" s="9"/>
      <c r="J25" s="9"/>
      <c r="K25" s="9"/>
      <c r="M25" s="23"/>
      <c r="N25" s="23"/>
      <c r="O25" s="23"/>
    </row>
    <row r="26" spans="1:16" ht="27" customHeight="1" x14ac:dyDescent="0.25">
      <c r="A26" s="31"/>
      <c r="B26" s="33"/>
      <c r="C26" s="32"/>
      <c r="D26" s="9"/>
      <c r="E26" s="9"/>
      <c r="F26" s="9"/>
      <c r="G26" s="9"/>
      <c r="H26" s="9"/>
      <c r="I26" s="9"/>
      <c r="J26" s="9"/>
      <c r="K26" s="9"/>
      <c r="M26" s="23"/>
      <c r="N26" s="23"/>
      <c r="O26" s="23"/>
    </row>
    <row r="27" spans="1:16" ht="38.25" customHeight="1" x14ac:dyDescent="0.25">
      <c r="A27" s="31"/>
      <c r="B27" s="33"/>
      <c r="C27" s="34"/>
      <c r="D27" s="35"/>
      <c r="E27" s="33"/>
      <c r="F27" s="33"/>
      <c r="G27" s="33"/>
      <c r="H27" s="36"/>
      <c r="I27" s="9"/>
      <c r="J27" s="9"/>
      <c r="K27" s="9"/>
      <c r="M27" s="71"/>
      <c r="N27" s="71"/>
      <c r="O27" s="23"/>
    </row>
    <row r="28" spans="1:16" ht="29.25" customHeight="1" x14ac:dyDescent="0.25">
      <c r="A28" s="31"/>
      <c r="B28" s="33"/>
      <c r="C28" s="32"/>
      <c r="D28" s="9"/>
      <c r="E28" s="9"/>
      <c r="F28" s="9"/>
      <c r="G28" s="9"/>
      <c r="H28" s="9"/>
      <c r="I28" s="9"/>
      <c r="J28" s="9"/>
      <c r="K28" s="9"/>
      <c r="M28" s="23"/>
      <c r="N28" s="31"/>
      <c r="O28" s="23"/>
    </row>
    <row r="29" spans="1:16" ht="22.5" customHeight="1" x14ac:dyDescent="0.25">
      <c r="A29" s="31"/>
      <c r="B29" s="37"/>
      <c r="C29" s="32"/>
      <c r="D29" s="35"/>
      <c r="E29" s="33"/>
      <c r="F29" s="33"/>
      <c r="G29" s="33"/>
      <c r="H29" s="36"/>
      <c r="I29" s="9"/>
      <c r="J29" s="9"/>
      <c r="K29" s="9"/>
      <c r="M29" s="72"/>
      <c r="N29" s="31"/>
      <c r="O29" s="23"/>
    </row>
    <row r="30" spans="1:16" ht="14.25" customHeight="1" x14ac:dyDescent="0.25">
      <c r="A30" s="31"/>
      <c r="B30" s="33"/>
      <c r="C30" s="34"/>
      <c r="D30" s="9"/>
      <c r="E30" s="9"/>
      <c r="F30" s="9"/>
      <c r="G30" s="9"/>
      <c r="H30" s="9"/>
      <c r="I30" s="9"/>
      <c r="J30" s="9"/>
      <c r="K30" s="9"/>
      <c r="M30" s="23"/>
      <c r="N30" s="31"/>
      <c r="O30" s="23"/>
    </row>
    <row r="31" spans="1:16" ht="24" customHeight="1" x14ac:dyDescent="0.25">
      <c r="A31" s="31"/>
      <c r="B31" s="37"/>
      <c r="C31" s="32"/>
      <c r="D31" s="9"/>
      <c r="E31" s="9"/>
      <c r="F31" s="9"/>
      <c r="G31" s="9"/>
      <c r="H31" s="9"/>
      <c r="I31" s="9"/>
      <c r="J31" s="9"/>
      <c r="K31" s="9"/>
      <c r="M31" s="23"/>
      <c r="N31" s="31"/>
      <c r="O31" s="23"/>
    </row>
    <row r="32" spans="1:16" ht="14.25" customHeight="1" x14ac:dyDescent="0.25">
      <c r="A32" s="31"/>
      <c r="B32" s="33"/>
      <c r="C32" s="32"/>
      <c r="D32" s="9"/>
      <c r="E32" s="9"/>
      <c r="F32" s="9"/>
      <c r="G32" s="9"/>
      <c r="H32" s="9"/>
      <c r="I32" s="9"/>
      <c r="J32" s="9"/>
      <c r="K32" s="9"/>
      <c r="M32" s="23"/>
      <c r="N32" s="31"/>
      <c r="O32" s="23"/>
    </row>
    <row r="33" spans="1:15" ht="14.25" customHeight="1" x14ac:dyDescent="0.25">
      <c r="A33" s="38"/>
      <c r="B33" s="33"/>
      <c r="C33" s="32"/>
      <c r="D33" s="9"/>
      <c r="E33" s="9"/>
      <c r="F33" s="9"/>
      <c r="G33" s="9"/>
      <c r="H33" s="9"/>
      <c r="I33" s="9"/>
      <c r="J33" s="9"/>
      <c r="K33" s="9"/>
      <c r="M33" s="23"/>
      <c r="N33" s="31"/>
      <c r="O33" s="23"/>
    </row>
    <row r="34" spans="1:15" ht="14.25" customHeight="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5" ht="14.25" customHeight="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5" ht="14.25" customHeight="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5" ht="14.25" customHeight="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5" ht="14.25" customHeight="1" x14ac:dyDescent="0.25"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5" ht="14.25" customHeight="1" x14ac:dyDescent="0.25"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5" ht="14.25" customHeight="1" x14ac:dyDescent="0.25"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5" ht="14.25" customHeight="1" x14ac:dyDescent="0.25"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5" ht="14.25" customHeight="1" x14ac:dyDescent="0.25"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5" ht="14.25" customHeight="1" x14ac:dyDescent="0.25"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5" ht="14.25" customHeight="1" x14ac:dyDescent="0.25"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5" ht="14.25" customHeight="1" x14ac:dyDescent="0.25"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5" ht="14.25" customHeight="1" x14ac:dyDescent="0.25"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5" ht="14.25" customHeight="1" x14ac:dyDescent="0.25"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5" ht="14.25" customHeight="1" x14ac:dyDescent="0.25"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2:11" ht="14.25" customHeight="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2:11" ht="14.25" customHeight="1" x14ac:dyDescent="0.25"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2:11" ht="14.25" customHeight="1" x14ac:dyDescent="0.25"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2:11" ht="14.25" customHeight="1" x14ac:dyDescent="0.25"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2:11" ht="14.25" customHeight="1" x14ac:dyDescent="0.25"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2:11" ht="14.25" customHeight="1" x14ac:dyDescent="0.25"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2:11" ht="14.25" customHeight="1" x14ac:dyDescent="0.25"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2:11" ht="14.25" customHeight="1" x14ac:dyDescent="0.25"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2:11" ht="14.25" customHeight="1" x14ac:dyDescent="0.25"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2:11" ht="14.25" customHeight="1" x14ac:dyDescent="0.25"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2:11" ht="14.25" customHeight="1" x14ac:dyDescent="0.25"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2:11" ht="14.25" customHeight="1" x14ac:dyDescent="0.25"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2:11" ht="14.25" customHeight="1" x14ac:dyDescent="0.25"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2:11" ht="14.25" customHeight="1" x14ac:dyDescent="0.25"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2:11" ht="14.25" customHeight="1" x14ac:dyDescent="0.25"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2:11" ht="14.25" customHeight="1" x14ac:dyDescent="0.25"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2:11" ht="14.25" customHeight="1" x14ac:dyDescent="0.25"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2:11" ht="14.25" customHeight="1" x14ac:dyDescent="0.25"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2:11" ht="14.25" customHeight="1" x14ac:dyDescent="0.25"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2:11" ht="14.25" customHeight="1" x14ac:dyDescent="0.25"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2:11" ht="14.25" customHeight="1" x14ac:dyDescent="0.25"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2:11" ht="14.25" customHeight="1" x14ac:dyDescent="0.25"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2:11" ht="14.25" customHeight="1" x14ac:dyDescent="0.25"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2:11" ht="14.25" customHeight="1" x14ac:dyDescent="0.25"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2:11" ht="14.25" customHeight="1" x14ac:dyDescent="0.25"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2:11" ht="14.25" customHeight="1" x14ac:dyDescent="0.25"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2:11" ht="14.25" customHeight="1" x14ac:dyDescent="0.25"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2:11" ht="14.25" customHeight="1" x14ac:dyDescent="0.25"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2:11" ht="14.25" customHeight="1" x14ac:dyDescent="0.25"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2:11" ht="14.25" customHeight="1" x14ac:dyDescent="0.25"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2:11" ht="14.25" customHeight="1" x14ac:dyDescent="0.25"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2:11" ht="14.25" customHeight="1" x14ac:dyDescent="0.25"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2:11" ht="14.25" customHeight="1" x14ac:dyDescent="0.25"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2:11" ht="14.25" customHeight="1" x14ac:dyDescent="0.25"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2:11" ht="14.25" customHeight="1" x14ac:dyDescent="0.25"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2:11" ht="14.25" customHeight="1" x14ac:dyDescent="0.25"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2:11" ht="14.25" customHeight="1" x14ac:dyDescent="0.25"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2:11" ht="14.25" customHeight="1" x14ac:dyDescent="0.25"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2:11" ht="14.25" customHeight="1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2:11" ht="14.25" customHeight="1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2:11" ht="14.25" customHeight="1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2:11" ht="14.25" customHeight="1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2:11" ht="14.25" customHeight="1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2:11" ht="14.25" customHeight="1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2:11" ht="14.25" customHeight="1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2:11" ht="14.25" customHeight="1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2:11" ht="14.25" customHeight="1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2:11" ht="14.25" customHeight="1" x14ac:dyDescent="0.25"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2:11" ht="14.25" customHeight="1" x14ac:dyDescent="0.25"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2:11" ht="14.25" customHeight="1" x14ac:dyDescent="0.25"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2:11" ht="14.25" customHeight="1" x14ac:dyDescent="0.25"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2:11" ht="14.25" customHeight="1" x14ac:dyDescent="0.25"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2:11" ht="14.25" customHeight="1" x14ac:dyDescent="0.25"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2:11" ht="14.25" customHeight="1" x14ac:dyDescent="0.25"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2:11" ht="14.25" customHeight="1" x14ac:dyDescent="0.25"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2:11" ht="14.25" customHeight="1" x14ac:dyDescent="0.25"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2:11" ht="14.25" customHeight="1" x14ac:dyDescent="0.25"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2:11" ht="14.25" customHeight="1" x14ac:dyDescent="0.25"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2:11" ht="14.25" customHeight="1" x14ac:dyDescent="0.25"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2:11" ht="14.25" customHeight="1" x14ac:dyDescent="0.25"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2:11" ht="14.25" customHeight="1" x14ac:dyDescent="0.25"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2:11" ht="14.25" customHeight="1" x14ac:dyDescent="0.25"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2:11" ht="14.25" customHeight="1" x14ac:dyDescent="0.25"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2:11" ht="14.25" customHeight="1" x14ac:dyDescent="0.25"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2:11" ht="14.25" customHeight="1" x14ac:dyDescent="0.25"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2:11" ht="14.25" customHeight="1" x14ac:dyDescent="0.25"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2:11" ht="14.25" customHeight="1" x14ac:dyDescent="0.25"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2:11" ht="14.25" customHeight="1" x14ac:dyDescent="0.25"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2:11" ht="14.25" customHeight="1" x14ac:dyDescent="0.25"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2:11" ht="14.25" customHeight="1" x14ac:dyDescent="0.25"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2:11" ht="14.25" customHeight="1" x14ac:dyDescent="0.25"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2:11" ht="14.25" customHeight="1" x14ac:dyDescent="0.25"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2:11" ht="14.25" customHeight="1" x14ac:dyDescent="0.25"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2:11" ht="14.25" customHeight="1" x14ac:dyDescent="0.25"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2:11" ht="14.25" customHeight="1" x14ac:dyDescent="0.25"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2:11" ht="14.25" customHeight="1" x14ac:dyDescent="0.25"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2:11" ht="14.25" customHeight="1" x14ac:dyDescent="0.25"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2:11" ht="14.25" customHeight="1" x14ac:dyDescent="0.25"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2:11" ht="14.25" customHeight="1" x14ac:dyDescent="0.25"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2:11" ht="14.25" customHeight="1" x14ac:dyDescent="0.25"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2:11" ht="14.25" customHeight="1" x14ac:dyDescent="0.25"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2:11" ht="14.25" customHeight="1" x14ac:dyDescent="0.25"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2:11" ht="14.25" customHeight="1" x14ac:dyDescent="0.25"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2:11" ht="14.25" customHeight="1" x14ac:dyDescent="0.25"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2:11" ht="14.25" customHeight="1" x14ac:dyDescent="0.25"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2:11" ht="14.25" customHeight="1" x14ac:dyDescent="0.25"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2:11" ht="14.25" customHeight="1" x14ac:dyDescent="0.25"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2:11" ht="14.25" customHeight="1" x14ac:dyDescent="0.25"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2:11" ht="14.25" customHeight="1" x14ac:dyDescent="0.25"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2:11" ht="14.25" customHeight="1" x14ac:dyDescent="0.25"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2:11" ht="14.25" customHeight="1" x14ac:dyDescent="0.25"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2:11" ht="14.25" customHeight="1" x14ac:dyDescent="0.25"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2:11" ht="14.25" customHeight="1" x14ac:dyDescent="0.25"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2:11" ht="14.25" customHeight="1" x14ac:dyDescent="0.25"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2:11" ht="14.25" customHeight="1" x14ac:dyDescent="0.25"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2:11" ht="14.25" customHeight="1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2:11" ht="14.25" customHeight="1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2:11" ht="14.25" customHeight="1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2:11" ht="14.25" customHeight="1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2:11" ht="14.25" customHeight="1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2:11" ht="14.25" customHeight="1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2:11" ht="14.25" customHeight="1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2:11" ht="14.25" customHeight="1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2:11" ht="14.25" customHeight="1" x14ac:dyDescent="0.25"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2:11" ht="14.25" customHeight="1" x14ac:dyDescent="0.25"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2:11" ht="14.25" customHeight="1" x14ac:dyDescent="0.25"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2:11" ht="14.25" customHeight="1" x14ac:dyDescent="0.25"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2:11" ht="14.25" customHeight="1" x14ac:dyDescent="0.25"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2:11" ht="14.25" customHeight="1" x14ac:dyDescent="0.25"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2:11" ht="14.25" customHeight="1" x14ac:dyDescent="0.25"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2:11" ht="14.25" customHeight="1" x14ac:dyDescent="0.25"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2:11" ht="14.25" customHeight="1" x14ac:dyDescent="0.25"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2:11" ht="14.25" customHeight="1" x14ac:dyDescent="0.25"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2:11" ht="14.25" customHeight="1" x14ac:dyDescent="0.25"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2:11" ht="14.25" customHeight="1" x14ac:dyDescent="0.25"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2:11" ht="14.25" customHeight="1" x14ac:dyDescent="0.25"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2:11" ht="14.25" customHeight="1" x14ac:dyDescent="0.25"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2:11" ht="14.25" customHeight="1" x14ac:dyDescent="0.25"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2:11" ht="14.25" customHeight="1" x14ac:dyDescent="0.25"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2:11" ht="14.25" customHeight="1" x14ac:dyDescent="0.25"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2:11" ht="14.25" customHeight="1" x14ac:dyDescent="0.25"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2:11" ht="14.25" customHeight="1" x14ac:dyDescent="0.25"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2:11" ht="14.25" customHeight="1" x14ac:dyDescent="0.25"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2:11" ht="14.25" customHeight="1" x14ac:dyDescent="0.25"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2:11" ht="14.25" customHeight="1" x14ac:dyDescent="0.25"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2:11" ht="14.25" customHeight="1" x14ac:dyDescent="0.25"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2:11" ht="14.25" customHeight="1" x14ac:dyDescent="0.25"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2:11" ht="14.25" customHeight="1" x14ac:dyDescent="0.25"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2:11" ht="14.25" customHeight="1" x14ac:dyDescent="0.25"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2:11" ht="14.25" customHeight="1" x14ac:dyDescent="0.25"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2:11" ht="14.25" customHeight="1" x14ac:dyDescent="0.25"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2:11" ht="14.25" customHeight="1" x14ac:dyDescent="0.25"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2:11" ht="14.25" customHeight="1" x14ac:dyDescent="0.25"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2:11" ht="14.25" customHeight="1" x14ac:dyDescent="0.25"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2:11" ht="14.25" customHeight="1" x14ac:dyDescent="0.25"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2:11" ht="14.25" customHeight="1" x14ac:dyDescent="0.25"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2:11" ht="14.25" customHeight="1" x14ac:dyDescent="0.25"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2:11" ht="14.25" customHeight="1" x14ac:dyDescent="0.25"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2:11" ht="14.25" customHeight="1" x14ac:dyDescent="0.25"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2:11" ht="14.25" customHeight="1" x14ac:dyDescent="0.25"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2:11" ht="14.25" customHeight="1" x14ac:dyDescent="0.25"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2:11" ht="14.25" customHeight="1" x14ac:dyDescent="0.25"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2:11" ht="14.25" customHeight="1" x14ac:dyDescent="0.25"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2:11" ht="14.25" customHeight="1" x14ac:dyDescent="0.25"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2:11" ht="14.25" customHeight="1" x14ac:dyDescent="0.25"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2:11" ht="14.25" customHeight="1" x14ac:dyDescent="0.25"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2:11" ht="14.25" customHeight="1" x14ac:dyDescent="0.25"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2:11" ht="14.25" customHeight="1" x14ac:dyDescent="0.25"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2:11" ht="14.25" customHeight="1" x14ac:dyDescent="0.25"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2:11" ht="14.25" customHeight="1" x14ac:dyDescent="0.25"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2:11" ht="14.25" customHeight="1" x14ac:dyDescent="0.25"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2:11" ht="14.25" customHeight="1" x14ac:dyDescent="0.25"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2:11" ht="14.25" customHeight="1" x14ac:dyDescent="0.25"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2:11" ht="14.25" customHeight="1" x14ac:dyDescent="0.25"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2:11" ht="14.25" customHeight="1" x14ac:dyDescent="0.25"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2:11" ht="14.25" customHeight="1" x14ac:dyDescent="0.25"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2:11" ht="14.25" customHeight="1" x14ac:dyDescent="0.25"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2:11" ht="14.25" customHeight="1" x14ac:dyDescent="0.25"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2:11" ht="14.25" customHeight="1" x14ac:dyDescent="0.25"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2:11" ht="14.25" customHeight="1" x14ac:dyDescent="0.25"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2:11" ht="14.25" customHeight="1" x14ac:dyDescent="0.25"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2:11" ht="14.25" customHeight="1" x14ac:dyDescent="0.25"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2:11" ht="14.25" customHeight="1" x14ac:dyDescent="0.25"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2:11" ht="14.25" customHeight="1" x14ac:dyDescent="0.25"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2:11" ht="14.25" customHeight="1" x14ac:dyDescent="0.25"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2:11" ht="14.25" customHeight="1" x14ac:dyDescent="0.25"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2:11" ht="14.25" customHeight="1" x14ac:dyDescent="0.25"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2:11" ht="14.25" customHeight="1" x14ac:dyDescent="0.25"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2:11" ht="14.25" customHeight="1" x14ac:dyDescent="0.25"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2:11" ht="14.25" customHeight="1" x14ac:dyDescent="0.25"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2:11" ht="14.25" customHeight="1" x14ac:dyDescent="0.25"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2:11" ht="14.25" customHeight="1" x14ac:dyDescent="0.25"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2:11" ht="14.25" customHeight="1" x14ac:dyDescent="0.25"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2:11" ht="14.25" customHeight="1" x14ac:dyDescent="0.25"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2:11" ht="14.25" customHeight="1" x14ac:dyDescent="0.25"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2:11" ht="14.25" customHeight="1" x14ac:dyDescent="0.25"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2:11" ht="14.25" customHeight="1" x14ac:dyDescent="0.25"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2:11" ht="14.25" customHeight="1" x14ac:dyDescent="0.25"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2:11" ht="14.25" customHeight="1" x14ac:dyDescent="0.25"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2:11" ht="14.25" customHeight="1" x14ac:dyDescent="0.25"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2:11" ht="14.25" customHeight="1" x14ac:dyDescent="0.25"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2:11" ht="14.25" customHeight="1" x14ac:dyDescent="0.25"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2:11" ht="14.25" customHeight="1" x14ac:dyDescent="0.25"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2:11" ht="14.25" customHeight="1" x14ac:dyDescent="0.25"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2:11" ht="14.25" customHeight="1" x14ac:dyDescent="0.25"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2:11" ht="14.25" customHeight="1" x14ac:dyDescent="0.25"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2:11" ht="14.25" customHeight="1" x14ac:dyDescent="0.25"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2:11" ht="14.25" customHeight="1" x14ac:dyDescent="0.25"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2:11" ht="14.25" customHeight="1" x14ac:dyDescent="0.25"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2:11" ht="14.25" customHeight="1" x14ac:dyDescent="0.25"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2:11" ht="14.25" customHeight="1" x14ac:dyDescent="0.25"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2:11" ht="14.25" customHeight="1" x14ac:dyDescent="0.25"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2:11" ht="14.25" customHeight="1" x14ac:dyDescent="0.25"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2:11" ht="14.25" customHeight="1" x14ac:dyDescent="0.25"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2:11" ht="14.25" customHeight="1" x14ac:dyDescent="0.25"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2:11" ht="14.25" customHeight="1" x14ac:dyDescent="0.25"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2:11" ht="14.25" customHeight="1" x14ac:dyDescent="0.25"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2:11" ht="14.25" customHeight="1" x14ac:dyDescent="0.25"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2:11" ht="14.25" customHeight="1" x14ac:dyDescent="0.25"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2:11" ht="14.25" customHeight="1" x14ac:dyDescent="0.25"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2:11" ht="14.25" customHeight="1" x14ac:dyDescent="0.25"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2:11" ht="14.25" customHeight="1" x14ac:dyDescent="0.25"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2:11" ht="14.25" customHeight="1" x14ac:dyDescent="0.25"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2:11" ht="14.25" customHeight="1" x14ac:dyDescent="0.25"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2:11" ht="14.25" customHeight="1" x14ac:dyDescent="0.25"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2:11" ht="14.25" customHeight="1" x14ac:dyDescent="0.25"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2:11" ht="14.25" customHeight="1" x14ac:dyDescent="0.25"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2:11" ht="14.25" customHeight="1" x14ac:dyDescent="0.25"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2:11" ht="14.25" customHeight="1" x14ac:dyDescent="0.25"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2:11" ht="14.25" customHeight="1" x14ac:dyDescent="0.25"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2:11" ht="14.25" customHeight="1" x14ac:dyDescent="0.25"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2:11" ht="14.25" customHeight="1" x14ac:dyDescent="0.25"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2:11" ht="14.25" customHeight="1" x14ac:dyDescent="0.25"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2:11" ht="14.25" customHeight="1" x14ac:dyDescent="0.25"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2:11" ht="14.25" customHeight="1" x14ac:dyDescent="0.25"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2:11" ht="14.25" customHeight="1" x14ac:dyDescent="0.25"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2:11" ht="14.25" customHeight="1" x14ac:dyDescent="0.25"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2:11" ht="14.25" customHeight="1" x14ac:dyDescent="0.25"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2:11" ht="14.25" customHeight="1" x14ac:dyDescent="0.25"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2:11" ht="14.25" customHeight="1" x14ac:dyDescent="0.25"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2:11" ht="14.25" customHeight="1" x14ac:dyDescent="0.25"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2:11" ht="14.25" customHeight="1" x14ac:dyDescent="0.25"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2:11" ht="14.25" customHeight="1" x14ac:dyDescent="0.25"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2:11" ht="14.25" customHeight="1" x14ac:dyDescent="0.25"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2:11" ht="14.25" customHeight="1" x14ac:dyDescent="0.25"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2:11" ht="14.25" customHeight="1" x14ac:dyDescent="0.25"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2:11" ht="14.25" customHeight="1" x14ac:dyDescent="0.25"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2:11" ht="14.25" customHeight="1" x14ac:dyDescent="0.25"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2:11" ht="14.25" customHeight="1" x14ac:dyDescent="0.25"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2:11" ht="14.25" customHeight="1" x14ac:dyDescent="0.25"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2:11" ht="14.25" customHeight="1" x14ac:dyDescent="0.25"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2:11" ht="14.25" customHeight="1" x14ac:dyDescent="0.25"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2:11" ht="14.25" customHeight="1" x14ac:dyDescent="0.25"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2:11" ht="14.25" customHeight="1" x14ac:dyDescent="0.25"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2:11" ht="14.25" customHeight="1" x14ac:dyDescent="0.25"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2:11" ht="14.25" customHeight="1" x14ac:dyDescent="0.25"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2:11" ht="14.25" customHeight="1" x14ac:dyDescent="0.25"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2:11" ht="14.25" customHeight="1" x14ac:dyDescent="0.25"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2:11" ht="14.25" customHeight="1" x14ac:dyDescent="0.25"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2:11" ht="14.25" customHeight="1" x14ac:dyDescent="0.25"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2:11" ht="14.25" customHeight="1" x14ac:dyDescent="0.25"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2:11" ht="14.25" customHeight="1" x14ac:dyDescent="0.25"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2:11" ht="14.25" customHeight="1" x14ac:dyDescent="0.25"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2:11" ht="14.25" customHeight="1" x14ac:dyDescent="0.25"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2:11" ht="14.25" customHeight="1" x14ac:dyDescent="0.25"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2:11" ht="14.25" customHeight="1" x14ac:dyDescent="0.25"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2:11" ht="14.25" customHeight="1" x14ac:dyDescent="0.25"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2:11" ht="14.25" customHeight="1" x14ac:dyDescent="0.25"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2:11" ht="14.25" customHeight="1" x14ac:dyDescent="0.25"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2:11" ht="14.25" customHeight="1" x14ac:dyDescent="0.25"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2:11" ht="14.25" customHeight="1" x14ac:dyDescent="0.25"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2:11" ht="14.25" customHeight="1" x14ac:dyDescent="0.25"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2:11" ht="14.25" customHeight="1" x14ac:dyDescent="0.25"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2:11" ht="14.25" customHeight="1" x14ac:dyDescent="0.25"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2:11" ht="14.25" customHeight="1" x14ac:dyDescent="0.25"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2:11" ht="14.25" customHeight="1" x14ac:dyDescent="0.25"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2:11" ht="14.25" customHeight="1" x14ac:dyDescent="0.25"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2:11" ht="14.25" customHeight="1" x14ac:dyDescent="0.25"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2:11" ht="14.25" customHeight="1" x14ac:dyDescent="0.25"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2:11" ht="14.25" customHeight="1" x14ac:dyDescent="0.25"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2:11" ht="14.25" customHeight="1" x14ac:dyDescent="0.25"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2:11" ht="14.25" customHeight="1" x14ac:dyDescent="0.25"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2:11" ht="14.25" customHeight="1" x14ac:dyDescent="0.25"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2:11" ht="14.25" customHeight="1" x14ac:dyDescent="0.25"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2:11" ht="14.25" customHeight="1" x14ac:dyDescent="0.25"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2:11" ht="14.25" customHeight="1" x14ac:dyDescent="0.25"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2:11" ht="14.25" customHeight="1" x14ac:dyDescent="0.25"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2:11" ht="14.25" customHeight="1" x14ac:dyDescent="0.25"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2:11" ht="14.25" customHeight="1" x14ac:dyDescent="0.25"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2:11" ht="14.25" customHeight="1" x14ac:dyDescent="0.25"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2:11" ht="14.25" customHeight="1" x14ac:dyDescent="0.25"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2:11" ht="14.25" customHeight="1" x14ac:dyDescent="0.25"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2:11" ht="14.25" customHeight="1" x14ac:dyDescent="0.25"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2:11" ht="14.25" customHeight="1" x14ac:dyDescent="0.25"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2:11" ht="14.25" customHeight="1" x14ac:dyDescent="0.25"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2:11" ht="14.25" customHeight="1" x14ac:dyDescent="0.25"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2:11" ht="14.25" customHeight="1" x14ac:dyDescent="0.25"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2:11" ht="14.25" customHeight="1" x14ac:dyDescent="0.25"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2:11" ht="14.25" customHeight="1" x14ac:dyDescent="0.25"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2:11" ht="14.25" customHeight="1" x14ac:dyDescent="0.25"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2:11" ht="14.25" customHeight="1" x14ac:dyDescent="0.25"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2:11" ht="14.25" customHeight="1" x14ac:dyDescent="0.25"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2:11" ht="14.25" customHeight="1" x14ac:dyDescent="0.25"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2:11" ht="14.25" customHeight="1" x14ac:dyDescent="0.25"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2:11" ht="14.25" customHeight="1" x14ac:dyDescent="0.25"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2:11" ht="14.25" customHeight="1" x14ac:dyDescent="0.25"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2:11" ht="14.25" customHeight="1" x14ac:dyDescent="0.25"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2:11" ht="14.25" customHeight="1" x14ac:dyDescent="0.25"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2:11" ht="14.25" customHeight="1" x14ac:dyDescent="0.25"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2:11" ht="14.25" customHeight="1" x14ac:dyDescent="0.25"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2:11" ht="14.25" customHeight="1" x14ac:dyDescent="0.25"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2:11" ht="14.25" customHeight="1" x14ac:dyDescent="0.25"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2:11" ht="14.25" customHeight="1" x14ac:dyDescent="0.25"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2:11" ht="14.25" customHeight="1" x14ac:dyDescent="0.25"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2:11" ht="14.25" customHeight="1" x14ac:dyDescent="0.25"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2:11" ht="14.25" customHeight="1" x14ac:dyDescent="0.25"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2:11" ht="14.25" customHeight="1" x14ac:dyDescent="0.25"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2:11" ht="14.25" customHeight="1" x14ac:dyDescent="0.25"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2:11" ht="14.25" customHeight="1" x14ac:dyDescent="0.25"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2:11" ht="14.25" customHeight="1" x14ac:dyDescent="0.25"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2:11" ht="14.25" customHeight="1" x14ac:dyDescent="0.25"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2:11" ht="14.25" customHeight="1" x14ac:dyDescent="0.25"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2:11" ht="14.25" customHeight="1" x14ac:dyDescent="0.25"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2:11" ht="14.25" customHeight="1" x14ac:dyDescent="0.25"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2:11" ht="14.25" customHeight="1" x14ac:dyDescent="0.25"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2:11" ht="14.25" customHeight="1" x14ac:dyDescent="0.25"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2:11" ht="14.25" customHeight="1" x14ac:dyDescent="0.25"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2:11" ht="14.25" customHeight="1" x14ac:dyDescent="0.25"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2:11" ht="14.25" customHeight="1" x14ac:dyDescent="0.25"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2:11" ht="14.25" customHeight="1" x14ac:dyDescent="0.25"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2:11" ht="14.25" customHeight="1" x14ac:dyDescent="0.25"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2:11" ht="14.25" customHeight="1" x14ac:dyDescent="0.25"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2:11" ht="14.25" customHeight="1" x14ac:dyDescent="0.25"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2:11" ht="14.25" customHeight="1" x14ac:dyDescent="0.25"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2:11" ht="14.25" customHeight="1" x14ac:dyDescent="0.25"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2:11" ht="14.25" customHeight="1" x14ac:dyDescent="0.25"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2:11" ht="14.25" customHeight="1" x14ac:dyDescent="0.25"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2:11" ht="14.25" customHeight="1" x14ac:dyDescent="0.25"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2:11" ht="14.25" customHeight="1" x14ac:dyDescent="0.25"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2:11" ht="14.25" customHeight="1" x14ac:dyDescent="0.25"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2:11" ht="14.25" customHeight="1" x14ac:dyDescent="0.25"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2:11" ht="14.25" customHeight="1" x14ac:dyDescent="0.25"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2:11" ht="14.25" customHeight="1" x14ac:dyDescent="0.25"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2:11" ht="14.25" customHeight="1" x14ac:dyDescent="0.25"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2:11" ht="14.25" customHeight="1" x14ac:dyDescent="0.25"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2:11" ht="14.25" customHeight="1" x14ac:dyDescent="0.25"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2:11" ht="14.25" customHeight="1" x14ac:dyDescent="0.25"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2:11" ht="14.25" customHeight="1" x14ac:dyDescent="0.25"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2:11" ht="14.25" customHeight="1" x14ac:dyDescent="0.25"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2:11" ht="14.25" customHeight="1" x14ac:dyDescent="0.25"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2:11" ht="14.25" customHeight="1" x14ac:dyDescent="0.25"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2:11" ht="14.25" customHeight="1" x14ac:dyDescent="0.25"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2:11" ht="14.25" customHeight="1" x14ac:dyDescent="0.25"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2:11" ht="14.25" customHeight="1" x14ac:dyDescent="0.25"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2:11" ht="14.25" customHeight="1" x14ac:dyDescent="0.25"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2:11" ht="14.25" customHeight="1" x14ac:dyDescent="0.25"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2:11" ht="14.25" customHeight="1" x14ac:dyDescent="0.25"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2:11" ht="14.25" customHeight="1" x14ac:dyDescent="0.25"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2:11" ht="14.25" customHeight="1" x14ac:dyDescent="0.25"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2:11" ht="14.25" customHeight="1" x14ac:dyDescent="0.25"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2:11" ht="14.25" customHeight="1" x14ac:dyDescent="0.25"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2:11" ht="14.25" customHeight="1" x14ac:dyDescent="0.25"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2:11" ht="14.25" customHeight="1" x14ac:dyDescent="0.25"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2:11" ht="14.25" customHeight="1" x14ac:dyDescent="0.25"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2:11" ht="14.25" customHeight="1" x14ac:dyDescent="0.25"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2:11" ht="14.25" customHeight="1" x14ac:dyDescent="0.25"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2:11" ht="14.25" customHeight="1" x14ac:dyDescent="0.25"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2:11" ht="14.25" customHeight="1" x14ac:dyDescent="0.25"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2:11" ht="14.25" customHeight="1" x14ac:dyDescent="0.25"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2:11" ht="14.25" customHeight="1" x14ac:dyDescent="0.25"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2:11" ht="14.25" customHeight="1" x14ac:dyDescent="0.25"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2:11" ht="14.25" customHeight="1" x14ac:dyDescent="0.25"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2:11" ht="14.25" customHeight="1" x14ac:dyDescent="0.25"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2:11" ht="14.25" customHeight="1" x14ac:dyDescent="0.25"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2:11" ht="14.25" customHeight="1" x14ac:dyDescent="0.25"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2:11" ht="14.25" customHeight="1" x14ac:dyDescent="0.25"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2:11" ht="14.25" customHeight="1" x14ac:dyDescent="0.25"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2:11" ht="14.25" customHeight="1" x14ac:dyDescent="0.25"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2:11" ht="14.25" customHeight="1" x14ac:dyDescent="0.25"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2:11" ht="14.25" customHeight="1" x14ac:dyDescent="0.25"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2:11" ht="14.25" customHeight="1" x14ac:dyDescent="0.25"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2:11" ht="14.25" customHeight="1" x14ac:dyDescent="0.25"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2:11" ht="14.25" customHeight="1" x14ac:dyDescent="0.25"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2:11" ht="14.25" customHeight="1" x14ac:dyDescent="0.25"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2:11" ht="14.25" customHeight="1" x14ac:dyDescent="0.25"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2:11" ht="14.25" customHeight="1" x14ac:dyDescent="0.25"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2:11" ht="14.25" customHeight="1" x14ac:dyDescent="0.25"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2:11" ht="14.25" customHeight="1" x14ac:dyDescent="0.25"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2:11" ht="14.25" customHeight="1" x14ac:dyDescent="0.25"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2:11" ht="14.25" customHeight="1" x14ac:dyDescent="0.25"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2:11" ht="14.25" customHeight="1" x14ac:dyDescent="0.25"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2:11" ht="14.25" customHeight="1" x14ac:dyDescent="0.25"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2:11" ht="14.25" customHeight="1" x14ac:dyDescent="0.25"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2:11" ht="14.25" customHeight="1" x14ac:dyDescent="0.25"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2:11" ht="14.25" customHeight="1" x14ac:dyDescent="0.25"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2:11" ht="14.25" customHeight="1" x14ac:dyDescent="0.25"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2:11" ht="14.25" customHeight="1" x14ac:dyDescent="0.25"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2:11" ht="14.25" customHeight="1" x14ac:dyDescent="0.25"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2:11" ht="14.25" customHeight="1" x14ac:dyDescent="0.25"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2:11" ht="14.25" customHeight="1" x14ac:dyDescent="0.25"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2:11" ht="14.25" customHeight="1" x14ac:dyDescent="0.25"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2:11" ht="14.25" customHeight="1" x14ac:dyDescent="0.25"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2:11" ht="14.25" customHeight="1" x14ac:dyDescent="0.25"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2:11" ht="14.25" customHeight="1" x14ac:dyDescent="0.25"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2:11" ht="14.25" customHeight="1" x14ac:dyDescent="0.25"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2:11" ht="14.25" customHeight="1" x14ac:dyDescent="0.25"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2:11" ht="14.25" customHeight="1" x14ac:dyDescent="0.25"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2:11" ht="14.25" customHeight="1" x14ac:dyDescent="0.25"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2:11" ht="14.25" customHeight="1" x14ac:dyDescent="0.25"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2:11" ht="14.25" customHeight="1" x14ac:dyDescent="0.25"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2:11" ht="14.25" customHeight="1" x14ac:dyDescent="0.25"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2:11" ht="14.25" customHeight="1" x14ac:dyDescent="0.25"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2:11" ht="14.25" customHeight="1" x14ac:dyDescent="0.25"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2:11" ht="14.25" customHeight="1" x14ac:dyDescent="0.25"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2:11" ht="14.25" customHeight="1" x14ac:dyDescent="0.25"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2:11" ht="14.25" customHeight="1" x14ac:dyDescent="0.25"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2:11" ht="14.25" customHeight="1" x14ac:dyDescent="0.25"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2:11" ht="14.25" customHeight="1" x14ac:dyDescent="0.25"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2:11" ht="14.25" customHeight="1" x14ac:dyDescent="0.25"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2:11" ht="14.25" customHeight="1" x14ac:dyDescent="0.25"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2:11" ht="14.25" customHeight="1" x14ac:dyDescent="0.25"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2:11" ht="14.25" customHeight="1" x14ac:dyDescent="0.25"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2:11" ht="14.25" customHeight="1" x14ac:dyDescent="0.25"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2:11" ht="14.25" customHeight="1" x14ac:dyDescent="0.25"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2:11" ht="14.25" customHeight="1" x14ac:dyDescent="0.25"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2:11" ht="14.25" customHeight="1" x14ac:dyDescent="0.25"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2:11" ht="14.25" customHeight="1" x14ac:dyDescent="0.25"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2:11" ht="14.25" customHeight="1" x14ac:dyDescent="0.25"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2:11" ht="14.25" customHeight="1" x14ac:dyDescent="0.25"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2:11" ht="14.25" customHeight="1" x14ac:dyDescent="0.25"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2:11" ht="14.25" customHeight="1" x14ac:dyDescent="0.25"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2:11" ht="14.25" customHeight="1" x14ac:dyDescent="0.25"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2:11" ht="14.25" customHeight="1" x14ac:dyDescent="0.25"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2:11" ht="14.25" customHeight="1" x14ac:dyDescent="0.25"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2:11" ht="14.25" customHeight="1" x14ac:dyDescent="0.25"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2:11" ht="14.25" customHeight="1" x14ac:dyDescent="0.25"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2:11" ht="14.25" customHeight="1" x14ac:dyDescent="0.25"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2:11" ht="14.25" customHeight="1" x14ac:dyDescent="0.25"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2:11" ht="14.25" customHeight="1" x14ac:dyDescent="0.25"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2:11" ht="14.25" customHeight="1" x14ac:dyDescent="0.25"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2:11" ht="14.25" customHeight="1" x14ac:dyDescent="0.25"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2:11" ht="14.25" customHeight="1" x14ac:dyDescent="0.25"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2:11" ht="14.25" customHeight="1" x14ac:dyDescent="0.25"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2:11" ht="14.25" customHeight="1" x14ac:dyDescent="0.25"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2:11" ht="14.25" customHeight="1" x14ac:dyDescent="0.25"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2:11" ht="14.25" customHeight="1" x14ac:dyDescent="0.25"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2:11" ht="14.25" customHeight="1" x14ac:dyDescent="0.25"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2:11" ht="14.25" customHeight="1" x14ac:dyDescent="0.25"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2:11" ht="14.25" customHeight="1" x14ac:dyDescent="0.25"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2:11" ht="14.25" customHeight="1" x14ac:dyDescent="0.25"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2:11" ht="14.25" customHeight="1" x14ac:dyDescent="0.25"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2:11" ht="14.25" customHeight="1" x14ac:dyDescent="0.25"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2:11" ht="14.25" customHeight="1" x14ac:dyDescent="0.25"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2:11" ht="14.25" customHeight="1" x14ac:dyDescent="0.25"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2:11" ht="14.25" customHeight="1" x14ac:dyDescent="0.25"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2:11" ht="14.25" customHeight="1" x14ac:dyDescent="0.25"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2:11" ht="14.25" customHeight="1" x14ac:dyDescent="0.25"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2:11" ht="14.25" customHeight="1" x14ac:dyDescent="0.25"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2:11" ht="14.25" customHeight="1" x14ac:dyDescent="0.25"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2:11" ht="14.25" customHeight="1" x14ac:dyDescent="0.25"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2:11" ht="14.25" customHeight="1" x14ac:dyDescent="0.25"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2:11" ht="14.25" customHeight="1" x14ac:dyDescent="0.25"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2:11" ht="14.25" customHeight="1" x14ac:dyDescent="0.25"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2:11" ht="14.25" customHeight="1" x14ac:dyDescent="0.25"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2:11" ht="14.25" customHeight="1" x14ac:dyDescent="0.25"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2:11" ht="14.25" customHeight="1" x14ac:dyDescent="0.25"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2:11" ht="14.25" customHeight="1" x14ac:dyDescent="0.25"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2:11" ht="14.25" customHeight="1" x14ac:dyDescent="0.25"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2:11" ht="14.25" customHeight="1" x14ac:dyDescent="0.25"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2:11" ht="14.25" customHeight="1" x14ac:dyDescent="0.25"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2:11" ht="14.25" customHeight="1" x14ac:dyDescent="0.25"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2:11" ht="14.25" customHeight="1" x14ac:dyDescent="0.25"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2:11" ht="14.25" customHeight="1" x14ac:dyDescent="0.25"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2:11" ht="14.25" customHeight="1" x14ac:dyDescent="0.25"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2:11" ht="14.25" customHeight="1" x14ac:dyDescent="0.25"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2:11" ht="14.25" customHeight="1" x14ac:dyDescent="0.25"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2:11" ht="14.25" customHeight="1" x14ac:dyDescent="0.25"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2:11" ht="14.25" customHeight="1" x14ac:dyDescent="0.25"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2:11" ht="14.25" customHeight="1" x14ac:dyDescent="0.25"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2:11" ht="14.25" customHeight="1" x14ac:dyDescent="0.25"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2:11" ht="14.25" customHeight="1" x14ac:dyDescent="0.25"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2:11" ht="14.25" customHeight="1" x14ac:dyDescent="0.25"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2:11" ht="14.25" customHeight="1" x14ac:dyDescent="0.25"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2:11" ht="14.25" customHeight="1" x14ac:dyDescent="0.25"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2:11" ht="14.25" customHeight="1" x14ac:dyDescent="0.25"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2:11" ht="14.25" customHeight="1" x14ac:dyDescent="0.25"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2:11" ht="14.25" customHeight="1" x14ac:dyDescent="0.25"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2:11" ht="14.25" customHeight="1" x14ac:dyDescent="0.25"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2:11" ht="14.25" customHeight="1" x14ac:dyDescent="0.25"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2:11" ht="14.25" customHeight="1" x14ac:dyDescent="0.25"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2:11" ht="14.25" customHeight="1" x14ac:dyDescent="0.25"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2:11" ht="14.25" customHeight="1" x14ac:dyDescent="0.25"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2:11" ht="14.25" customHeight="1" x14ac:dyDescent="0.25"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2:11" ht="14.25" customHeight="1" x14ac:dyDescent="0.25"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2:11" ht="14.25" customHeight="1" x14ac:dyDescent="0.25"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2:11" ht="14.25" customHeight="1" x14ac:dyDescent="0.25"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2:11" ht="14.25" customHeight="1" x14ac:dyDescent="0.25"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2:11" ht="14.25" customHeight="1" x14ac:dyDescent="0.25"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2:11" ht="14.25" customHeight="1" x14ac:dyDescent="0.25"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2:11" ht="14.25" customHeight="1" x14ac:dyDescent="0.25"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2:11" ht="14.25" customHeight="1" x14ac:dyDescent="0.25"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2:11" ht="14.25" customHeight="1" x14ac:dyDescent="0.25"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2:11" ht="14.25" customHeight="1" x14ac:dyDescent="0.25"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2:11" ht="14.25" customHeight="1" x14ac:dyDescent="0.25"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2:11" ht="14.25" customHeight="1" x14ac:dyDescent="0.25"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2:11" ht="14.25" customHeight="1" x14ac:dyDescent="0.25"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2:11" ht="14.25" customHeight="1" x14ac:dyDescent="0.25"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2:11" ht="14.25" customHeight="1" x14ac:dyDescent="0.25"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2:11" ht="14.25" customHeight="1" x14ac:dyDescent="0.25"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2:11" ht="14.25" customHeight="1" x14ac:dyDescent="0.25"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2:11" ht="14.25" customHeight="1" x14ac:dyDescent="0.25"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2:11" ht="14.25" customHeight="1" x14ac:dyDescent="0.25"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2:11" ht="14.25" customHeight="1" x14ac:dyDescent="0.25"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2:11" ht="14.25" customHeight="1" x14ac:dyDescent="0.25"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2:11" ht="14.25" customHeight="1" x14ac:dyDescent="0.25"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2:11" ht="14.25" customHeight="1" x14ac:dyDescent="0.25"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2:11" ht="14.25" customHeight="1" x14ac:dyDescent="0.25"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2:11" ht="14.25" customHeight="1" x14ac:dyDescent="0.25"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2:11" ht="14.25" customHeight="1" x14ac:dyDescent="0.25"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2:11" ht="14.25" customHeight="1" x14ac:dyDescent="0.25"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2:11" ht="14.25" customHeight="1" x14ac:dyDescent="0.25"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2:11" ht="14.25" customHeight="1" x14ac:dyDescent="0.25"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2:11" ht="14.25" customHeight="1" x14ac:dyDescent="0.25"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2:11" ht="14.25" customHeight="1" x14ac:dyDescent="0.25"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2:11" ht="14.25" customHeight="1" x14ac:dyDescent="0.25"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2:11" ht="14.25" customHeight="1" x14ac:dyDescent="0.25"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2:11" ht="14.25" customHeight="1" x14ac:dyDescent="0.25"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2:11" ht="14.25" customHeight="1" x14ac:dyDescent="0.25"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2:11" ht="14.25" customHeight="1" x14ac:dyDescent="0.25"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2:11" ht="14.25" customHeight="1" x14ac:dyDescent="0.25"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2:11" ht="14.25" customHeight="1" x14ac:dyDescent="0.25"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2:11" ht="14.25" customHeight="1" x14ac:dyDescent="0.25"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2:11" ht="14.25" customHeight="1" x14ac:dyDescent="0.25"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2:11" ht="14.25" customHeight="1" x14ac:dyDescent="0.25"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2:11" ht="14.25" customHeight="1" x14ac:dyDescent="0.25"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2:11" ht="14.25" customHeight="1" x14ac:dyDescent="0.25"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2:11" ht="14.25" customHeight="1" x14ac:dyDescent="0.25"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2:11" ht="14.25" customHeight="1" x14ac:dyDescent="0.25"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2:11" ht="14.25" customHeight="1" x14ac:dyDescent="0.25"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2:11" ht="14.25" customHeight="1" x14ac:dyDescent="0.25"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2:11" ht="14.25" customHeight="1" x14ac:dyDescent="0.25"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2:11" ht="14.25" customHeight="1" x14ac:dyDescent="0.25"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2:11" ht="14.25" customHeight="1" x14ac:dyDescent="0.25"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2:11" ht="14.25" customHeight="1" x14ac:dyDescent="0.25"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2:11" ht="14.25" customHeight="1" x14ac:dyDescent="0.25"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2:11" ht="14.25" customHeight="1" x14ac:dyDescent="0.25"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2:11" ht="14.25" customHeight="1" x14ac:dyDescent="0.25"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2:11" ht="14.25" customHeight="1" x14ac:dyDescent="0.25"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2:11" ht="14.25" customHeight="1" x14ac:dyDescent="0.25"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2:11" ht="14.25" customHeight="1" x14ac:dyDescent="0.25"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2:11" ht="14.25" customHeight="1" x14ac:dyDescent="0.25"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2:11" ht="14.25" customHeight="1" x14ac:dyDescent="0.25"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2:11" ht="14.25" customHeight="1" x14ac:dyDescent="0.25"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2:11" ht="14.25" customHeight="1" x14ac:dyDescent="0.25"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2:11" ht="14.25" customHeight="1" x14ac:dyDescent="0.25"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2:11" ht="14.25" customHeight="1" x14ac:dyDescent="0.25"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2:11" ht="14.25" customHeight="1" x14ac:dyDescent="0.25"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2:11" ht="14.25" customHeight="1" x14ac:dyDescent="0.25"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2:11" ht="14.25" customHeight="1" x14ac:dyDescent="0.25"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2:11" ht="14.25" customHeight="1" x14ac:dyDescent="0.25"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2:11" ht="14.25" customHeight="1" x14ac:dyDescent="0.25"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2:11" ht="14.25" customHeight="1" x14ac:dyDescent="0.25"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2:11" ht="14.25" customHeight="1" x14ac:dyDescent="0.25"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2:11" ht="14.25" customHeight="1" x14ac:dyDescent="0.25"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2:11" ht="14.25" customHeight="1" x14ac:dyDescent="0.25"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2:11" ht="14.25" customHeight="1" x14ac:dyDescent="0.25"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2:11" ht="14.25" customHeight="1" x14ac:dyDescent="0.25"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2:11" ht="14.25" customHeight="1" x14ac:dyDescent="0.25"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2:11" ht="14.25" customHeight="1" x14ac:dyDescent="0.25"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2:11" ht="14.25" customHeight="1" x14ac:dyDescent="0.25"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2:11" ht="14.25" customHeight="1" x14ac:dyDescent="0.25"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2:11" ht="14.25" customHeight="1" x14ac:dyDescent="0.25"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2:11" ht="14.25" customHeight="1" x14ac:dyDescent="0.25"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2:11" ht="14.25" customHeight="1" x14ac:dyDescent="0.25"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2:11" ht="14.25" customHeight="1" x14ac:dyDescent="0.25"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2:11" ht="14.25" customHeight="1" x14ac:dyDescent="0.25"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2:11" ht="14.25" customHeight="1" x14ac:dyDescent="0.25"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2:11" ht="14.25" customHeight="1" x14ac:dyDescent="0.25"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2:11" ht="14.25" customHeight="1" x14ac:dyDescent="0.25"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2:11" ht="14.25" customHeight="1" x14ac:dyDescent="0.25"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2:11" ht="14.25" customHeight="1" x14ac:dyDescent="0.25"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2:11" ht="14.25" customHeight="1" x14ac:dyDescent="0.25"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2:11" ht="14.25" customHeight="1" x14ac:dyDescent="0.25"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2:11" ht="14.25" customHeight="1" x14ac:dyDescent="0.25"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2:11" ht="14.25" customHeight="1" x14ac:dyDescent="0.25"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2:11" ht="14.25" customHeight="1" x14ac:dyDescent="0.25"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2:11" ht="14.25" customHeight="1" x14ac:dyDescent="0.25"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2:11" ht="14.25" customHeight="1" x14ac:dyDescent="0.25"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2:11" ht="14.25" customHeight="1" x14ac:dyDescent="0.25"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2:11" ht="14.25" customHeight="1" x14ac:dyDescent="0.25"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2:11" ht="14.25" customHeight="1" x14ac:dyDescent="0.25"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2:11" ht="14.25" customHeight="1" x14ac:dyDescent="0.25"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2:11" ht="14.25" customHeight="1" x14ac:dyDescent="0.25"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2:11" ht="14.25" customHeight="1" x14ac:dyDescent="0.25"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2:11" ht="14.25" customHeight="1" x14ac:dyDescent="0.25"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2:11" ht="14.25" customHeight="1" x14ac:dyDescent="0.25"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2:11" ht="14.25" customHeight="1" x14ac:dyDescent="0.25"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2:11" ht="14.25" customHeight="1" x14ac:dyDescent="0.25"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2:11" ht="14.25" customHeight="1" x14ac:dyDescent="0.25"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2:11" ht="14.25" customHeight="1" x14ac:dyDescent="0.25"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2:11" ht="14.25" customHeight="1" x14ac:dyDescent="0.25"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2:11" ht="14.25" customHeight="1" x14ac:dyDescent="0.25"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2:11" ht="14.25" customHeight="1" x14ac:dyDescent="0.25"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2:11" ht="14.25" customHeight="1" x14ac:dyDescent="0.25"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2:11" ht="14.25" customHeight="1" x14ac:dyDescent="0.25"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2:11" ht="14.25" customHeight="1" x14ac:dyDescent="0.25"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2:11" ht="14.25" customHeight="1" x14ac:dyDescent="0.25"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2:11" ht="14.25" customHeight="1" x14ac:dyDescent="0.25"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2:11" ht="14.25" customHeight="1" x14ac:dyDescent="0.25"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2:11" ht="14.25" customHeight="1" x14ac:dyDescent="0.25"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2:11" ht="14.25" customHeight="1" x14ac:dyDescent="0.25"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2:11" ht="14.25" customHeight="1" x14ac:dyDescent="0.25"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2:11" ht="14.25" customHeight="1" x14ac:dyDescent="0.25"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2:11" ht="14.25" customHeight="1" x14ac:dyDescent="0.25"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2:11" ht="14.25" customHeight="1" x14ac:dyDescent="0.25"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2:11" ht="14.25" customHeight="1" x14ac:dyDescent="0.25"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2:11" ht="14.25" customHeight="1" x14ac:dyDescent="0.25"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2:11" ht="14.25" customHeight="1" x14ac:dyDescent="0.25"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2:11" ht="14.25" customHeight="1" x14ac:dyDescent="0.25"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2:11" ht="14.25" customHeight="1" x14ac:dyDescent="0.25"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2:11" ht="14.25" customHeight="1" x14ac:dyDescent="0.25"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2:11" ht="14.25" customHeight="1" x14ac:dyDescent="0.25"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2:11" ht="14.25" customHeight="1" x14ac:dyDescent="0.25"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2:11" ht="14.25" customHeight="1" x14ac:dyDescent="0.25"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2:11" ht="14.25" customHeight="1" x14ac:dyDescent="0.25"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2:11" ht="14.25" customHeight="1" x14ac:dyDescent="0.25"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2:11" ht="14.25" customHeight="1" x14ac:dyDescent="0.25"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2:11" ht="14.25" customHeight="1" x14ac:dyDescent="0.25"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2:11" ht="14.25" customHeight="1" x14ac:dyDescent="0.25"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2:11" ht="14.25" customHeight="1" x14ac:dyDescent="0.25"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2:11" ht="14.25" customHeight="1" x14ac:dyDescent="0.25"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2:11" ht="14.25" customHeight="1" x14ac:dyDescent="0.25"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2:11" ht="14.25" customHeight="1" x14ac:dyDescent="0.25"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2:11" ht="14.25" customHeight="1" x14ac:dyDescent="0.25"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2:11" ht="14.25" customHeight="1" x14ac:dyDescent="0.25"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2:11" ht="14.25" customHeight="1" x14ac:dyDescent="0.25"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2:11" ht="14.25" customHeight="1" x14ac:dyDescent="0.25"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2:11" ht="14.25" customHeight="1" x14ac:dyDescent="0.25"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2:11" ht="14.25" customHeight="1" x14ac:dyDescent="0.25"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2:11" ht="14.25" customHeight="1" x14ac:dyDescent="0.25"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2:11" ht="14.25" customHeight="1" x14ac:dyDescent="0.25"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2:11" ht="14.25" customHeight="1" x14ac:dyDescent="0.25"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2:11" ht="14.25" customHeight="1" x14ac:dyDescent="0.25"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2:11" ht="14.25" customHeight="1" x14ac:dyDescent="0.25"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2:11" ht="14.25" customHeight="1" x14ac:dyDescent="0.25"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2:11" ht="14.25" customHeight="1" x14ac:dyDescent="0.25"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2:11" ht="14.25" customHeight="1" x14ac:dyDescent="0.25"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2:11" ht="14.25" customHeight="1" x14ac:dyDescent="0.25"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2:11" ht="14.25" customHeight="1" x14ac:dyDescent="0.25"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2:11" ht="14.25" customHeight="1" x14ac:dyDescent="0.25"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2:11" ht="14.25" customHeight="1" x14ac:dyDescent="0.25"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2:11" ht="14.25" customHeight="1" x14ac:dyDescent="0.25"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2:11" ht="14.25" customHeight="1" x14ac:dyDescent="0.25"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2:11" ht="14.25" customHeight="1" x14ac:dyDescent="0.25"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2:11" ht="14.25" customHeight="1" x14ac:dyDescent="0.25"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2:11" ht="14.25" customHeight="1" x14ac:dyDescent="0.25"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2:11" ht="14.25" customHeight="1" x14ac:dyDescent="0.25"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2:11" ht="14.25" customHeight="1" x14ac:dyDescent="0.25"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2:11" ht="14.25" customHeight="1" x14ac:dyDescent="0.25"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2:11" ht="14.25" customHeight="1" x14ac:dyDescent="0.25"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2:11" ht="14.25" customHeight="1" x14ac:dyDescent="0.25"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2:11" ht="14.25" customHeight="1" x14ac:dyDescent="0.25"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2:11" ht="14.25" customHeight="1" x14ac:dyDescent="0.25"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2:11" ht="14.25" customHeight="1" x14ac:dyDescent="0.25"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2:11" ht="14.25" customHeight="1" x14ac:dyDescent="0.25"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2:11" ht="14.25" customHeight="1" x14ac:dyDescent="0.25"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2:11" ht="14.25" customHeight="1" x14ac:dyDescent="0.25"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2:11" ht="14.25" customHeight="1" x14ac:dyDescent="0.25"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2:11" ht="14.25" customHeight="1" x14ac:dyDescent="0.25"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2:11" ht="14.25" customHeight="1" x14ac:dyDescent="0.25"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2:11" ht="14.25" customHeight="1" x14ac:dyDescent="0.25"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2:11" ht="14.25" customHeight="1" x14ac:dyDescent="0.25"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2:11" ht="14.25" customHeight="1" x14ac:dyDescent="0.25"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2:11" ht="14.25" customHeight="1" x14ac:dyDescent="0.25"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2:11" ht="14.25" customHeight="1" x14ac:dyDescent="0.25"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2:11" ht="14.25" customHeight="1" x14ac:dyDescent="0.25"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2:11" ht="14.25" customHeight="1" x14ac:dyDescent="0.25"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2:11" ht="14.25" customHeight="1" x14ac:dyDescent="0.25"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2:11" ht="14.25" customHeight="1" x14ac:dyDescent="0.25"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2:11" ht="14.25" customHeight="1" x14ac:dyDescent="0.25"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2:11" ht="14.25" customHeight="1" x14ac:dyDescent="0.25"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2:11" ht="14.25" customHeight="1" x14ac:dyDescent="0.25"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2:11" ht="14.25" customHeight="1" x14ac:dyDescent="0.25"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2:11" ht="14.25" customHeight="1" x14ac:dyDescent="0.25"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2:11" ht="14.25" customHeight="1" x14ac:dyDescent="0.25"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2:11" ht="14.25" customHeight="1" x14ac:dyDescent="0.25"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2:11" ht="14.25" customHeight="1" x14ac:dyDescent="0.25"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2:11" ht="14.25" customHeight="1" x14ac:dyDescent="0.25"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2:11" ht="14.25" customHeight="1" x14ac:dyDescent="0.25"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2:11" ht="14.25" customHeight="1" x14ac:dyDescent="0.25"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2:11" ht="14.25" customHeight="1" x14ac:dyDescent="0.25"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2:11" ht="14.25" customHeight="1" x14ac:dyDescent="0.25"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2:11" ht="14.25" customHeight="1" x14ac:dyDescent="0.25"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2:11" ht="14.25" customHeight="1" x14ac:dyDescent="0.25"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2:11" ht="14.25" customHeight="1" x14ac:dyDescent="0.25"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2:11" ht="14.25" customHeight="1" x14ac:dyDescent="0.25"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2:11" ht="14.25" customHeight="1" x14ac:dyDescent="0.25"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2:11" ht="14.25" customHeight="1" x14ac:dyDescent="0.25"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2:11" ht="14.25" customHeight="1" x14ac:dyDescent="0.25"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2:11" ht="14.25" customHeight="1" x14ac:dyDescent="0.25"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2:11" ht="14.25" customHeight="1" x14ac:dyDescent="0.25"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2:11" ht="14.25" customHeight="1" x14ac:dyDescent="0.25"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2:11" ht="14.25" customHeight="1" x14ac:dyDescent="0.25"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2:11" ht="14.25" customHeight="1" x14ac:dyDescent="0.25"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2:11" ht="14.25" customHeight="1" x14ac:dyDescent="0.25"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2:11" ht="14.25" customHeight="1" x14ac:dyDescent="0.25"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2:11" ht="14.25" customHeight="1" x14ac:dyDescent="0.25"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2:11" ht="14.25" customHeight="1" x14ac:dyDescent="0.25"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2:11" ht="14.25" customHeight="1" x14ac:dyDescent="0.25"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2:11" ht="14.25" customHeight="1" x14ac:dyDescent="0.25"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2:11" ht="14.25" customHeight="1" x14ac:dyDescent="0.25"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2:11" ht="14.25" customHeight="1" x14ac:dyDescent="0.25"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2:11" ht="14.25" customHeight="1" x14ac:dyDescent="0.25"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2:11" ht="14.25" customHeight="1" x14ac:dyDescent="0.25"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2:11" ht="14.25" customHeight="1" x14ac:dyDescent="0.25"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2:11" ht="14.25" customHeight="1" x14ac:dyDescent="0.25"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2:11" ht="14.25" customHeight="1" x14ac:dyDescent="0.25"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2:11" ht="14.25" customHeight="1" x14ac:dyDescent="0.25"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2:11" ht="14.25" customHeight="1" x14ac:dyDescent="0.25"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2:11" ht="14.25" customHeight="1" x14ac:dyDescent="0.25"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2:11" ht="14.25" customHeight="1" x14ac:dyDescent="0.25"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2:11" ht="14.25" customHeight="1" x14ac:dyDescent="0.25"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2:11" ht="14.25" customHeight="1" x14ac:dyDescent="0.25"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2:11" ht="14.25" customHeight="1" x14ac:dyDescent="0.25"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2:11" ht="14.25" customHeight="1" x14ac:dyDescent="0.25"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2:11" ht="14.25" customHeight="1" x14ac:dyDescent="0.25"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2:11" ht="14.25" customHeight="1" x14ac:dyDescent="0.25"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2:11" ht="14.25" customHeight="1" x14ac:dyDescent="0.25"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2:11" ht="14.25" customHeight="1" x14ac:dyDescent="0.25"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2:11" ht="14.25" customHeight="1" x14ac:dyDescent="0.25"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2:11" ht="14.25" customHeight="1" x14ac:dyDescent="0.25"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2:11" ht="14.25" customHeight="1" x14ac:dyDescent="0.25"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2:11" ht="14.25" customHeight="1" x14ac:dyDescent="0.25"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2:11" ht="14.25" customHeight="1" x14ac:dyDescent="0.25"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2:11" ht="14.25" customHeight="1" x14ac:dyDescent="0.25"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2:11" ht="14.25" customHeight="1" x14ac:dyDescent="0.25"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2:11" ht="14.25" customHeight="1" x14ac:dyDescent="0.25"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2:11" ht="14.25" customHeight="1" x14ac:dyDescent="0.25"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2:11" ht="14.25" customHeight="1" x14ac:dyDescent="0.25"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2:11" ht="14.25" customHeight="1" x14ac:dyDescent="0.25"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2:11" ht="14.25" customHeight="1" x14ac:dyDescent="0.25"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2:11" ht="14.25" customHeight="1" x14ac:dyDescent="0.25"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2:11" ht="14.25" customHeight="1" x14ac:dyDescent="0.25"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2:11" ht="14.25" customHeight="1" x14ac:dyDescent="0.25"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2:11" ht="14.25" customHeight="1" x14ac:dyDescent="0.25"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2:11" ht="14.25" customHeight="1" x14ac:dyDescent="0.25"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2:11" ht="14.25" customHeight="1" x14ac:dyDescent="0.25"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2:11" ht="14.25" customHeight="1" x14ac:dyDescent="0.25"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2:11" ht="14.25" customHeight="1" x14ac:dyDescent="0.25"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2:11" ht="14.25" customHeight="1" x14ac:dyDescent="0.25"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2:11" ht="14.25" customHeight="1" x14ac:dyDescent="0.25"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2:11" ht="14.25" customHeight="1" x14ac:dyDescent="0.25"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2:11" ht="14.25" customHeight="1" x14ac:dyDescent="0.25"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2:11" ht="14.25" customHeight="1" x14ac:dyDescent="0.25"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2:11" ht="14.25" customHeight="1" x14ac:dyDescent="0.25"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2:11" ht="14.25" customHeight="1" x14ac:dyDescent="0.25"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2:11" ht="14.25" customHeight="1" x14ac:dyDescent="0.25"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2:11" ht="14.25" customHeight="1" x14ac:dyDescent="0.25"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2:11" ht="14.25" customHeight="1" x14ac:dyDescent="0.25"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2:11" ht="14.25" customHeight="1" x14ac:dyDescent="0.25"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2:11" ht="14.25" customHeight="1" x14ac:dyDescent="0.25"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2:11" ht="14.25" customHeight="1" x14ac:dyDescent="0.25"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2:11" ht="14.25" customHeight="1" x14ac:dyDescent="0.25"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2:11" ht="14.25" customHeight="1" x14ac:dyDescent="0.25"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2:11" ht="14.25" customHeight="1" x14ac:dyDescent="0.25"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2:11" ht="14.25" customHeight="1" x14ac:dyDescent="0.25"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2:11" ht="14.25" customHeight="1" x14ac:dyDescent="0.25"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2:11" ht="14.25" customHeight="1" x14ac:dyDescent="0.25"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2:11" ht="14.25" customHeight="1" x14ac:dyDescent="0.25"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2:11" ht="14.25" customHeight="1" x14ac:dyDescent="0.25"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2:11" ht="14.25" customHeight="1" x14ac:dyDescent="0.25"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2:11" ht="14.25" customHeight="1" x14ac:dyDescent="0.25"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2:11" ht="14.25" customHeight="1" x14ac:dyDescent="0.25"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2:11" ht="14.25" customHeight="1" x14ac:dyDescent="0.25"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2:11" ht="14.25" customHeight="1" x14ac:dyDescent="0.25"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2:11" ht="14.25" customHeight="1" x14ac:dyDescent="0.25"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2:11" ht="14.25" customHeight="1" x14ac:dyDescent="0.25"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2:11" ht="14.25" customHeight="1" x14ac:dyDescent="0.25"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2:11" ht="14.25" customHeight="1" x14ac:dyDescent="0.25"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2:11" ht="14.25" customHeight="1" x14ac:dyDescent="0.25"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2:11" ht="14.25" customHeight="1" x14ac:dyDescent="0.25"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2:11" ht="14.25" customHeight="1" x14ac:dyDescent="0.25"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2:11" ht="14.25" customHeight="1" x14ac:dyDescent="0.25"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2:11" ht="14.25" customHeight="1" x14ac:dyDescent="0.25"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2:11" ht="14.25" customHeight="1" x14ac:dyDescent="0.25"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2:11" ht="14.25" customHeight="1" x14ac:dyDescent="0.25"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2:11" ht="14.25" customHeight="1" x14ac:dyDescent="0.25"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2:11" ht="14.25" customHeight="1" x14ac:dyDescent="0.25"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2:11" ht="14.25" customHeight="1" x14ac:dyDescent="0.25"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2:11" ht="14.25" customHeight="1" x14ac:dyDescent="0.25"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2:11" ht="14.25" customHeight="1" x14ac:dyDescent="0.25"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2:11" ht="14.25" customHeight="1" x14ac:dyDescent="0.25"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2:11" ht="14.25" customHeight="1" x14ac:dyDescent="0.25"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2:11" ht="14.25" customHeight="1" x14ac:dyDescent="0.25"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2:11" ht="14.25" customHeight="1" x14ac:dyDescent="0.25"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2:11" ht="14.25" customHeight="1" x14ac:dyDescent="0.25"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2:11" ht="14.25" customHeight="1" x14ac:dyDescent="0.25"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2:11" ht="14.25" customHeight="1" x14ac:dyDescent="0.25"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2:11" ht="14.25" customHeight="1" x14ac:dyDescent="0.25"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2:11" ht="14.25" customHeight="1" x14ac:dyDescent="0.25"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2:11" ht="14.25" customHeight="1" x14ac:dyDescent="0.25"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2:11" ht="14.25" customHeight="1" x14ac:dyDescent="0.25"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2:11" ht="14.25" customHeight="1" x14ac:dyDescent="0.25"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2:11" ht="14.25" customHeight="1" x14ac:dyDescent="0.25"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2:11" ht="14.25" customHeight="1" x14ac:dyDescent="0.25"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2:11" ht="14.25" customHeight="1" x14ac:dyDescent="0.25"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2:11" ht="14.25" customHeight="1" x14ac:dyDescent="0.25"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2:11" ht="14.25" customHeight="1" x14ac:dyDescent="0.25"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2:11" ht="14.25" customHeight="1" x14ac:dyDescent="0.25"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2:11" ht="14.25" customHeight="1" x14ac:dyDescent="0.25"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2:11" ht="14.25" customHeight="1" x14ac:dyDescent="0.25"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2:11" ht="14.25" customHeight="1" x14ac:dyDescent="0.25"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2:11" ht="14.25" customHeight="1" x14ac:dyDescent="0.25"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2:11" ht="14.25" customHeight="1" x14ac:dyDescent="0.25"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2:11" ht="14.25" customHeight="1" x14ac:dyDescent="0.25"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2:11" ht="14.25" customHeight="1" x14ac:dyDescent="0.25"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2:11" ht="14.25" customHeight="1" x14ac:dyDescent="0.25"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2:11" ht="14.25" customHeight="1" x14ac:dyDescent="0.25"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2:11" ht="14.25" customHeight="1" x14ac:dyDescent="0.25"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2:11" ht="14.25" customHeight="1" x14ac:dyDescent="0.25"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2:11" ht="14.25" customHeight="1" x14ac:dyDescent="0.25"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2:11" ht="14.25" customHeight="1" x14ac:dyDescent="0.25"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2:11" ht="14.25" customHeight="1" x14ac:dyDescent="0.25"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2:11" ht="14.25" customHeight="1" x14ac:dyDescent="0.25"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2:11" ht="14.25" customHeight="1" x14ac:dyDescent="0.25"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2:11" ht="14.25" customHeight="1" x14ac:dyDescent="0.25"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2:11" ht="14.25" customHeight="1" x14ac:dyDescent="0.25"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2:11" ht="14.25" customHeight="1" x14ac:dyDescent="0.25"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2:11" ht="14.25" customHeight="1" x14ac:dyDescent="0.25"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2:11" ht="14.25" customHeight="1" x14ac:dyDescent="0.25"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2:11" ht="14.25" customHeight="1" x14ac:dyDescent="0.25"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2:11" ht="14.25" customHeight="1" x14ac:dyDescent="0.25"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2:11" ht="14.25" customHeight="1" x14ac:dyDescent="0.25"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2:11" ht="14.25" customHeight="1" x14ac:dyDescent="0.25"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2:11" ht="14.25" customHeight="1" x14ac:dyDescent="0.25"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2:11" ht="14.25" customHeight="1" x14ac:dyDescent="0.25"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2:11" ht="14.25" customHeight="1" x14ac:dyDescent="0.25"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2:11" ht="14.25" customHeight="1" x14ac:dyDescent="0.25"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2:11" ht="14.25" customHeight="1" x14ac:dyDescent="0.25"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2:11" ht="14.25" customHeight="1" x14ac:dyDescent="0.25"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2:11" ht="14.25" customHeight="1" x14ac:dyDescent="0.25"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2:11" ht="14.25" customHeight="1" x14ac:dyDescent="0.25"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2:11" ht="14.25" customHeight="1" x14ac:dyDescent="0.25"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2:11" ht="14.25" customHeight="1" x14ac:dyDescent="0.25"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2:11" ht="14.25" customHeight="1" x14ac:dyDescent="0.25"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2:11" ht="14.25" customHeight="1" x14ac:dyDescent="0.25"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2:11" ht="14.25" customHeight="1" x14ac:dyDescent="0.25"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2:11" ht="14.25" customHeight="1" x14ac:dyDescent="0.25"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2:11" ht="14.25" customHeight="1" x14ac:dyDescent="0.25"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2:11" ht="14.25" customHeight="1" x14ac:dyDescent="0.25"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2:11" ht="14.25" customHeight="1" x14ac:dyDescent="0.25"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2:11" ht="14.25" customHeight="1" x14ac:dyDescent="0.25"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2:11" ht="14.25" customHeight="1" x14ac:dyDescent="0.25"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2:11" ht="14.25" customHeight="1" x14ac:dyDescent="0.25"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2:11" ht="14.25" customHeight="1" x14ac:dyDescent="0.25"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2:11" ht="14.25" customHeight="1" x14ac:dyDescent="0.25"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2:11" ht="14.25" customHeight="1" x14ac:dyDescent="0.25"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2:11" ht="14.25" customHeight="1" x14ac:dyDescent="0.25"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2:11" ht="14.25" customHeight="1" x14ac:dyDescent="0.25"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2:11" ht="14.25" customHeight="1" x14ac:dyDescent="0.25"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2:11" ht="14.25" customHeight="1" x14ac:dyDescent="0.25"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2:11" ht="14.25" customHeight="1" x14ac:dyDescent="0.25"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2:11" ht="14.25" customHeight="1" x14ac:dyDescent="0.25"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2:11" ht="14.25" customHeight="1" x14ac:dyDescent="0.25"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2:11" ht="14.25" customHeight="1" x14ac:dyDescent="0.25"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2:11" ht="14.25" customHeight="1" x14ac:dyDescent="0.25"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2:11" ht="14.25" customHeight="1" x14ac:dyDescent="0.25"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2:11" ht="14.25" customHeight="1" x14ac:dyDescent="0.25"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2:11" ht="14.25" customHeight="1" x14ac:dyDescent="0.25"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2:11" ht="14.25" customHeight="1" x14ac:dyDescent="0.25"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2:11" ht="14.25" customHeight="1" x14ac:dyDescent="0.25"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2:11" ht="14.25" customHeight="1" x14ac:dyDescent="0.25"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2:11" ht="14.25" customHeight="1" x14ac:dyDescent="0.25"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2:11" ht="14.25" customHeight="1" x14ac:dyDescent="0.25"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2:11" ht="14.25" customHeight="1" x14ac:dyDescent="0.25"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2:11" ht="14.25" customHeight="1" x14ac:dyDescent="0.25"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2:11" ht="14.25" customHeight="1" x14ac:dyDescent="0.25"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2:11" ht="14.25" customHeight="1" x14ac:dyDescent="0.25"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2:11" ht="14.25" customHeight="1" x14ac:dyDescent="0.25"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2:11" ht="14.25" customHeight="1" x14ac:dyDescent="0.25"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2:11" ht="14.25" customHeight="1" x14ac:dyDescent="0.25"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2:11" ht="14.25" customHeight="1" x14ac:dyDescent="0.25"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2:11" ht="14.25" customHeight="1" x14ac:dyDescent="0.25"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2:11" ht="14.25" customHeight="1" x14ac:dyDescent="0.25"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2:11" ht="14.25" customHeight="1" x14ac:dyDescent="0.25"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2:11" ht="14.25" customHeight="1" x14ac:dyDescent="0.25"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2:11" ht="14.25" customHeight="1" x14ac:dyDescent="0.25"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2:11" ht="14.25" customHeight="1" x14ac:dyDescent="0.25"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2:11" ht="14.25" customHeight="1" x14ac:dyDescent="0.25"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2:11" ht="14.25" customHeight="1" x14ac:dyDescent="0.25"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2:11" ht="14.25" customHeight="1" x14ac:dyDescent="0.25"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2:11" ht="14.25" customHeight="1" x14ac:dyDescent="0.25"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2:11" ht="14.25" customHeight="1" x14ac:dyDescent="0.25"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2:11" ht="14.25" customHeight="1" x14ac:dyDescent="0.25"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2:11" ht="14.25" customHeight="1" x14ac:dyDescent="0.25"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2:11" ht="14.25" customHeight="1" x14ac:dyDescent="0.25"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2:11" ht="14.25" customHeight="1" x14ac:dyDescent="0.25">
      <c r="B925" s="9"/>
      <c r="C925" s="9"/>
      <c r="D925" s="9"/>
      <c r="E925" s="9"/>
      <c r="F925" s="9"/>
      <c r="G925" s="9"/>
      <c r="H925" s="9"/>
      <c r="I925" s="9"/>
      <c r="J925" s="9"/>
      <c r="K925" s="9"/>
    </row>
  </sheetData>
  <mergeCells count="1">
    <mergeCell ref="M1:N1"/>
  </mergeCells>
  <conditionalFormatting sqref="C1:C925">
    <cfRule type="containsText" dxfId="2" priority="1" stopIfTrue="1" operator="containsText" text="SIM">
      <formula>NOT(ISERROR(SEARCH(("SIM"),(C1))))</formula>
    </cfRule>
    <cfRule type="containsText" dxfId="1" priority="2" stopIfTrue="1" operator="containsText" text="NÃO">
      <formula>NOT(ISERROR(SEARCH(("NÃO"),(C1))))</formula>
    </cfRule>
    <cfRule type="containsText" dxfId="0" priority="3" stopIfTrue="1" operator="containsText" text="APLICA">
      <formula>NOT(ISERROR(SEARCH(("APLICA"),(C1))))</formula>
    </cfRule>
  </conditionalFormatting>
  <dataValidations count="1">
    <dataValidation type="list" allowBlank="1" showErrorMessage="1" sqref="C2:C33" xr:uid="{00000000-0002-0000-0000-000000000000}">
      <formula1>"SIM,NÃO,NÃO SE APLICA"</formula1>
    </dataValidation>
  </dataValidations>
  <pageMargins left="0.511811024" right="0.511811024" top="0.78740157499999996" bottom="0.78740157499999996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38"/>
  <sheetViews>
    <sheetView workbookViewId="0">
      <selection activeCell="C9" sqref="C9"/>
    </sheetView>
  </sheetViews>
  <sheetFormatPr defaultColWidth="12.5703125" defaultRowHeight="15" customHeight="1" x14ac:dyDescent="0.25"/>
  <cols>
    <col min="1" max="1" width="4" customWidth="1"/>
    <col min="2" max="2" width="50.5703125" customWidth="1"/>
  </cols>
  <sheetData>
    <row r="1" spans="1:2" x14ac:dyDescent="0.25">
      <c r="A1" s="1" t="s">
        <v>0</v>
      </c>
      <c r="B1" s="1" t="s">
        <v>1</v>
      </c>
    </row>
    <row r="2" spans="1:2" ht="43.5" x14ac:dyDescent="0.25">
      <c r="A2" s="3">
        <v>1</v>
      </c>
      <c r="B2" s="5" t="s">
        <v>5</v>
      </c>
    </row>
    <row r="3" spans="1:2" ht="29.25" x14ac:dyDescent="0.25">
      <c r="A3" s="3">
        <v>2</v>
      </c>
      <c r="B3" s="1" t="s">
        <v>7</v>
      </c>
    </row>
    <row r="4" spans="1:2" ht="43.5" x14ac:dyDescent="0.25">
      <c r="A4" s="3">
        <v>3</v>
      </c>
      <c r="B4" s="1" t="s">
        <v>8</v>
      </c>
    </row>
    <row r="5" spans="1:2" ht="29.25" x14ac:dyDescent="0.25">
      <c r="A5" s="3">
        <v>4</v>
      </c>
      <c r="B5" s="1" t="s">
        <v>12</v>
      </c>
    </row>
    <row r="6" spans="1:2" ht="29.25" x14ac:dyDescent="0.25">
      <c r="A6" s="8">
        <v>5</v>
      </c>
      <c r="B6" s="1" t="s">
        <v>15</v>
      </c>
    </row>
    <row r="7" spans="1:2" ht="29.25" x14ac:dyDescent="0.25">
      <c r="A7" s="8">
        <v>6</v>
      </c>
      <c r="B7" s="1" t="s">
        <v>16</v>
      </c>
    </row>
    <row r="8" spans="1:2" ht="29.25" x14ac:dyDescent="0.25">
      <c r="A8" s="8">
        <v>7</v>
      </c>
      <c r="B8" s="1" t="s">
        <v>17</v>
      </c>
    </row>
    <row r="9" spans="1:2" ht="29.25" x14ac:dyDescent="0.25">
      <c r="A9" s="8">
        <v>8</v>
      </c>
      <c r="B9" s="1" t="s">
        <v>18</v>
      </c>
    </row>
    <row r="10" spans="1:2" ht="29.25" x14ac:dyDescent="0.25">
      <c r="A10" s="8">
        <v>9</v>
      </c>
      <c r="B10" s="1" t="s">
        <v>19</v>
      </c>
    </row>
    <row r="11" spans="1:2" ht="29.25" x14ac:dyDescent="0.25">
      <c r="A11" s="8">
        <v>10</v>
      </c>
      <c r="B11" s="1" t="s">
        <v>20</v>
      </c>
    </row>
    <row r="12" spans="1:2" x14ac:dyDescent="0.25">
      <c r="A12" s="8">
        <v>11</v>
      </c>
      <c r="B12" s="1" t="s">
        <v>21</v>
      </c>
    </row>
    <row r="13" spans="1:2" ht="43.5" x14ac:dyDescent="0.25">
      <c r="A13" s="11">
        <v>12</v>
      </c>
      <c r="B13" s="1" t="s">
        <v>22</v>
      </c>
    </row>
    <row r="14" spans="1:2" ht="43.5" x14ac:dyDescent="0.25">
      <c r="A14" s="8">
        <v>13</v>
      </c>
      <c r="B14" s="1" t="s">
        <v>23</v>
      </c>
    </row>
    <row r="15" spans="1:2" ht="29.25" x14ac:dyDescent="0.25">
      <c r="A15" s="8">
        <v>14</v>
      </c>
      <c r="B15" s="1" t="s">
        <v>24</v>
      </c>
    </row>
    <row r="16" spans="1:2" ht="29.25" x14ac:dyDescent="0.25">
      <c r="A16" s="8">
        <v>15</v>
      </c>
      <c r="B16" s="1" t="s">
        <v>25</v>
      </c>
    </row>
    <row r="17" spans="1:2" ht="29.25" x14ac:dyDescent="0.25">
      <c r="A17" s="8">
        <v>16</v>
      </c>
      <c r="B17" s="1" t="s">
        <v>26</v>
      </c>
    </row>
    <row r="18" spans="1:2" ht="29.25" x14ac:dyDescent="0.25">
      <c r="A18" s="8">
        <v>17</v>
      </c>
      <c r="B18" s="1" t="s">
        <v>27</v>
      </c>
    </row>
    <row r="19" spans="1:2" ht="29.25" x14ac:dyDescent="0.25">
      <c r="A19" s="8">
        <v>18</v>
      </c>
      <c r="B19" s="1" t="s">
        <v>28</v>
      </c>
    </row>
    <row r="20" spans="1:2" ht="43.5" x14ac:dyDescent="0.25">
      <c r="A20" s="8">
        <v>19</v>
      </c>
      <c r="B20" s="1" t="s">
        <v>29</v>
      </c>
    </row>
    <row r="21" spans="1:2" ht="29.25" x14ac:dyDescent="0.25">
      <c r="A21" s="8">
        <v>20</v>
      </c>
      <c r="B21" s="1" t="s">
        <v>30</v>
      </c>
    </row>
    <row r="22" spans="1:2" ht="57.75" x14ac:dyDescent="0.25">
      <c r="A22" s="8">
        <v>21</v>
      </c>
      <c r="B22" s="68" t="s">
        <v>31</v>
      </c>
    </row>
    <row r="23" spans="1:2" ht="43.5" x14ac:dyDescent="0.25">
      <c r="A23" s="27">
        <v>22</v>
      </c>
      <c r="B23" s="70" t="s">
        <v>67</v>
      </c>
    </row>
    <row r="24" spans="1:2" ht="42" customHeight="1" x14ac:dyDescent="0.25">
      <c r="A24" s="69">
        <v>23</v>
      </c>
      <c r="B24" s="15"/>
    </row>
    <row r="25" spans="1:2" x14ac:dyDescent="0.25">
      <c r="A25" s="15"/>
      <c r="B25" s="15"/>
    </row>
    <row r="26" spans="1:2" x14ac:dyDescent="0.25">
      <c r="A26" s="15"/>
      <c r="B26" s="15"/>
    </row>
    <row r="27" spans="1:2" x14ac:dyDescent="0.25">
      <c r="A27" s="15"/>
      <c r="B27" s="15"/>
    </row>
    <row r="28" spans="1:2" x14ac:dyDescent="0.25">
      <c r="A28" s="15"/>
      <c r="B28" s="15"/>
    </row>
    <row r="29" spans="1:2" x14ac:dyDescent="0.25">
      <c r="A29" s="15"/>
      <c r="B29" s="15"/>
    </row>
    <row r="30" spans="1:2" x14ac:dyDescent="0.25">
      <c r="A30" s="15"/>
      <c r="B30" s="15"/>
    </row>
    <row r="31" spans="1:2" x14ac:dyDescent="0.25">
      <c r="A31" s="15"/>
      <c r="B31" s="15"/>
    </row>
    <row r="32" spans="1:2" x14ac:dyDescent="0.25">
      <c r="A32" s="15"/>
      <c r="B32" s="15"/>
    </row>
    <row r="33" spans="1:2" x14ac:dyDescent="0.25">
      <c r="A33" s="15"/>
      <c r="B33" s="15"/>
    </row>
    <row r="34" spans="1:2" x14ac:dyDescent="0.25">
      <c r="A34" s="15"/>
      <c r="B34" s="15"/>
    </row>
    <row r="35" spans="1:2" x14ac:dyDescent="0.25">
      <c r="A35" s="15"/>
      <c r="B35" s="15"/>
    </row>
    <row r="36" spans="1:2" x14ac:dyDescent="0.25">
      <c r="A36" s="15"/>
      <c r="B36" s="15"/>
    </row>
    <row r="37" spans="1:2" x14ac:dyDescent="0.25">
      <c r="A37" s="15"/>
      <c r="B37" s="15"/>
    </row>
    <row r="38" spans="1:2" x14ac:dyDescent="0.25">
      <c r="A38" s="15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Apoio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Geovana Vincensi</dc:creator>
  <cp:lastModifiedBy>Geovana Vincensi</cp:lastModifiedBy>
  <cp:lastPrinted>2026-09-03T14:50:43Z</cp:lastPrinted>
  <dcterms:created xsi:type="dcterms:W3CDTF">2026-08-17T12:52:32Z</dcterms:created>
  <dcterms:modified xsi:type="dcterms:W3CDTF">2026-09-03T22:49:14Z</dcterms:modified>
</cp:coreProperties>
</file>